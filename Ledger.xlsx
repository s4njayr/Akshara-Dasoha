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7bf95eb80e075e/Desktop/"/>
    </mc:Choice>
  </mc:AlternateContent>
  <xr:revisionPtr revIDLastSave="24" documentId="13_ncr:1_{C19FFACB-DDA4-407B-AE2E-79236586E968}" xr6:coauthVersionLast="47" xr6:coauthVersionMax="47" xr10:uidLastSave="{7CAD0444-F19E-4344-BDC5-3A5BFEB33A75}"/>
  <bookViews>
    <workbookView xWindow="-108" yWindow="-108" windowWidth="23256" windowHeight="12456" activeTab="4" xr2:uid="{00000000-000D-0000-FFFF-FFFF00000000}"/>
  </bookViews>
  <sheets>
    <sheet name="8th Rice Bagya" sheetId="1" r:id="rId1"/>
    <sheet name="Milk &amp; Biscut" sheetId="3" r:id="rId2"/>
    <sheet name="Contengency" sheetId="5" r:id="rId3"/>
    <sheet name="9th &amp; 10 Rice Bagya" sheetId="2" r:id="rId4"/>
    <sheet name="Egg &amp; Bannana &amp; nutbar" sheetId="4" r:id="rId5"/>
  </sheets>
  <definedNames>
    <definedName name="_xlnm._FilterDatabase" localSheetId="0" hidden="1">'8th Rice Bagya'!$V$3:$V$33</definedName>
    <definedName name="_xlnm._FilterDatabase" localSheetId="3" hidden="1">'9th &amp; 10 Rice Bagya'!$A$1:$R$34</definedName>
    <definedName name="_xlnm._FilterDatabase" localSheetId="2" hidden="1">Contengency!$A$1:$V$33</definedName>
    <definedName name="_xlnm._FilterDatabase" localSheetId="1" hidden="1">'Milk &amp; Biscut'!$A$1:$M$33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4" l="1"/>
  <c r="P4" i="4"/>
  <c r="H4" i="3"/>
  <c r="D4" i="3"/>
  <c r="O20" i="5"/>
  <c r="O21" i="5"/>
  <c r="O22" i="5"/>
  <c r="O19" i="5"/>
  <c r="O26" i="5"/>
  <c r="G19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" i="5"/>
  <c r="O4" i="5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" i="2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" i="3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" i="1"/>
  <c r="F3" i="3"/>
  <c r="K3" i="3"/>
  <c r="M3" i="3" s="1"/>
  <c r="I4" i="3" s="1"/>
  <c r="K4" i="3" s="1"/>
  <c r="F4" i="3"/>
  <c r="L4" i="3"/>
  <c r="L5" i="3"/>
  <c r="L7" i="3"/>
  <c r="L10" i="3"/>
  <c r="L11" i="3"/>
  <c r="L12" i="3"/>
  <c r="L13" i="3"/>
  <c r="L14" i="3"/>
  <c r="L15" i="3"/>
  <c r="L16" i="3"/>
  <c r="D5" i="3" l="1"/>
  <c r="F5" i="3" s="1"/>
  <c r="H5" i="3" s="1"/>
  <c r="D6" i="3" s="1"/>
  <c r="F6" i="3" s="1"/>
  <c r="H6" i="3" s="1"/>
  <c r="D7" i="3" s="1"/>
  <c r="F7" i="3" s="1"/>
  <c r="H7" i="3" s="1"/>
  <c r="D8" i="3" s="1"/>
  <c r="F8" i="3" s="1"/>
  <c r="H8" i="3" s="1"/>
  <c r="D9" i="3" s="1"/>
  <c r="F9" i="3" s="1"/>
  <c r="H9" i="3" s="1"/>
  <c r="D10" i="3" s="1"/>
  <c r="F10" i="3" s="1"/>
  <c r="H10" i="3" s="1"/>
  <c r="D11" i="3" s="1"/>
  <c r="F11" i="3" s="1"/>
  <c r="H11" i="3" s="1"/>
  <c r="D12" i="3" s="1"/>
  <c r="F12" i="3" s="1"/>
  <c r="H12" i="3" s="1"/>
  <c r="D13" i="3" s="1"/>
  <c r="F13" i="3" s="1"/>
  <c r="H13" i="3" s="1"/>
  <c r="D14" i="3" s="1"/>
  <c r="F14" i="3" s="1"/>
  <c r="H14" i="3" s="1"/>
  <c r="D15" i="3" s="1"/>
  <c r="F15" i="3" s="1"/>
  <c r="H15" i="3" s="1"/>
  <c r="D16" i="3" s="1"/>
  <c r="F16" i="3" s="1"/>
  <c r="H16" i="3" s="1"/>
  <c r="D17" i="3" s="1"/>
  <c r="F17" i="3" s="1"/>
  <c r="H17" i="3" s="1"/>
  <c r="M4" i="3"/>
  <c r="I5" i="3" s="1"/>
  <c r="K5" i="3" s="1"/>
  <c r="M5" i="3" s="1"/>
  <c r="I6" i="3" s="1"/>
  <c r="K6" i="3" s="1"/>
  <c r="M6" i="3" s="1"/>
  <c r="I7" i="3" s="1"/>
  <c r="K7" i="3" s="1"/>
  <c r="M7" i="3" s="1"/>
  <c r="I8" i="3" s="1"/>
  <c r="K8" i="3" s="1"/>
  <c r="M8" i="3" s="1"/>
  <c r="I9" i="3" s="1"/>
  <c r="K9" i="3" s="1"/>
  <c r="M9" i="3" s="1"/>
  <c r="I10" i="3" s="1"/>
  <c r="K10" i="3" s="1"/>
  <c r="M10" i="3" s="1"/>
  <c r="I11" i="3" s="1"/>
  <c r="K11" i="3" s="1"/>
  <c r="M11" i="3" s="1"/>
  <c r="I12" i="3" s="1"/>
  <c r="K12" i="3" s="1"/>
  <c r="M12" i="3" s="1"/>
  <c r="I13" i="3" s="1"/>
  <c r="K13" i="3" s="1"/>
  <c r="M13" i="3" s="1"/>
  <c r="I14" i="3" s="1"/>
  <c r="K14" i="3" s="1"/>
  <c r="M14" i="3" s="1"/>
  <c r="I15" i="3" s="1"/>
  <c r="K15" i="3" s="1"/>
  <c r="M15" i="3" s="1"/>
  <c r="I16" i="3" s="1"/>
  <c r="K16" i="3" s="1"/>
  <c r="M16" i="3" s="1"/>
  <c r="K6" i="5"/>
  <c r="O6" i="5" s="1"/>
  <c r="T3" i="5" l="1"/>
  <c r="Q4" i="5"/>
  <c r="U4" i="5" s="1"/>
  <c r="K5" i="5"/>
  <c r="Q6" i="5"/>
  <c r="U6" i="5" s="1"/>
  <c r="K7" i="5"/>
  <c r="O7" i="5" s="1"/>
  <c r="K8" i="5"/>
  <c r="O8" i="5" s="1"/>
  <c r="K9" i="5"/>
  <c r="O9" i="5" s="1"/>
  <c r="K10" i="5"/>
  <c r="O10" i="5" s="1"/>
  <c r="K11" i="5"/>
  <c r="O11" i="5" s="1"/>
  <c r="K12" i="5"/>
  <c r="O12" i="5" s="1"/>
  <c r="K13" i="5"/>
  <c r="O13" i="5" s="1"/>
  <c r="K14" i="5"/>
  <c r="O14" i="5" s="1"/>
  <c r="K15" i="5"/>
  <c r="O15" i="5" s="1"/>
  <c r="K16" i="5"/>
  <c r="K17" i="5"/>
  <c r="O17" i="5" s="1"/>
  <c r="K18" i="5"/>
  <c r="O18" i="5" s="1"/>
  <c r="K19" i="5"/>
  <c r="K20" i="5"/>
  <c r="K21" i="5"/>
  <c r="K22" i="5"/>
  <c r="K23" i="5"/>
  <c r="O23" i="5" s="1"/>
  <c r="K24" i="5"/>
  <c r="K25" i="5"/>
  <c r="O25" i="5" s="1"/>
  <c r="K26" i="5"/>
  <c r="K27" i="5"/>
  <c r="K28" i="5"/>
  <c r="K29" i="5"/>
  <c r="O29" i="5" s="1"/>
  <c r="K30" i="5"/>
  <c r="O30" i="5" s="1"/>
  <c r="K31" i="5"/>
  <c r="O31" i="5" s="1"/>
  <c r="K32" i="5"/>
  <c r="O32" i="5" s="1"/>
  <c r="K33" i="5"/>
  <c r="O33" i="5" s="1"/>
  <c r="K3" i="5"/>
  <c r="O3" i="5" s="1"/>
  <c r="N3" i="5"/>
  <c r="F3" i="5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V4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" i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4" i="2"/>
  <c r="L5" i="2"/>
  <c r="Q16" i="5" l="1"/>
  <c r="U16" i="5" s="1"/>
  <c r="O16" i="5"/>
  <c r="Q5" i="5"/>
  <c r="U5" i="5" s="1"/>
  <c r="O5" i="5"/>
  <c r="Q24" i="5"/>
  <c r="U24" i="5" s="1"/>
  <c r="O24" i="5"/>
  <c r="Q28" i="5"/>
  <c r="U28" i="5" s="1"/>
  <c r="O28" i="5"/>
  <c r="Q27" i="5"/>
  <c r="U27" i="5" s="1"/>
  <c r="O27" i="5"/>
  <c r="Q19" i="5"/>
  <c r="U19" i="5" s="1"/>
  <c r="Q11" i="5"/>
  <c r="U11" i="5" s="1"/>
  <c r="Q3" i="5"/>
  <c r="V3" i="5" s="1"/>
  <c r="R4" i="5" s="1"/>
  <c r="T4" i="5" s="1"/>
  <c r="V4" i="5" s="1"/>
  <c r="R5" i="5" s="1"/>
  <c r="T5" i="5" s="1"/>
  <c r="V5" i="5" s="1"/>
  <c r="R6" i="5" s="1"/>
  <c r="T6" i="5" s="1"/>
  <c r="V6" i="5" s="1"/>
  <c r="R7" i="5" s="1"/>
  <c r="T7" i="5" s="1"/>
  <c r="Q26" i="5"/>
  <c r="U26" i="5" s="1"/>
  <c r="Q18" i="5"/>
  <c r="U18" i="5" s="1"/>
  <c r="Q10" i="5"/>
  <c r="U10" i="5" s="1"/>
  <c r="Q33" i="5"/>
  <c r="U33" i="5" s="1"/>
  <c r="Q25" i="5"/>
  <c r="U25" i="5" s="1"/>
  <c r="Q17" i="5"/>
  <c r="U17" i="5" s="1"/>
  <c r="Q9" i="5"/>
  <c r="U9" i="5" s="1"/>
  <c r="Q32" i="5"/>
  <c r="U32" i="5" s="1"/>
  <c r="Q8" i="5"/>
  <c r="U8" i="5" s="1"/>
  <c r="Q31" i="5"/>
  <c r="U31" i="5" s="1"/>
  <c r="Q23" i="5"/>
  <c r="U23" i="5" s="1"/>
  <c r="Q15" i="5"/>
  <c r="U15" i="5" s="1"/>
  <c r="Q7" i="5"/>
  <c r="U7" i="5" s="1"/>
  <c r="Q30" i="5"/>
  <c r="U30" i="5" s="1"/>
  <c r="Q22" i="5"/>
  <c r="U22" i="5" s="1"/>
  <c r="Q14" i="5"/>
  <c r="U14" i="5" s="1"/>
  <c r="Q29" i="5"/>
  <c r="U29" i="5" s="1"/>
  <c r="Q21" i="5"/>
  <c r="U21" i="5" s="1"/>
  <c r="Q13" i="5"/>
  <c r="U13" i="5" s="1"/>
  <c r="Q20" i="5"/>
  <c r="U20" i="5" s="1"/>
  <c r="Q12" i="5"/>
  <c r="U12" i="5" s="1"/>
  <c r="H3" i="5"/>
  <c r="D4" i="5" s="1"/>
  <c r="F4" i="5" s="1"/>
  <c r="H4" i="5" s="1"/>
  <c r="D5" i="5" s="1"/>
  <c r="F5" i="5" s="1"/>
  <c r="H5" i="5" s="1"/>
  <c r="D6" i="5" s="1"/>
  <c r="F6" i="5" s="1"/>
  <c r="H6" i="5" s="1"/>
  <c r="D7" i="5" s="1"/>
  <c r="F7" i="5" s="1"/>
  <c r="H7" i="5" s="1"/>
  <c r="D8" i="5" s="1"/>
  <c r="F8" i="5" s="1"/>
  <c r="H8" i="5" s="1"/>
  <c r="D9" i="5" s="1"/>
  <c r="F9" i="5" s="1"/>
  <c r="H9" i="5" s="1"/>
  <c r="D10" i="5" s="1"/>
  <c r="F10" i="5" s="1"/>
  <c r="H10" i="5" s="1"/>
  <c r="D11" i="5" s="1"/>
  <c r="F11" i="5" s="1"/>
  <c r="H11" i="5" s="1"/>
  <c r="D12" i="5" s="1"/>
  <c r="F12" i="5" s="1"/>
  <c r="H12" i="5" s="1"/>
  <c r="D13" i="5" s="1"/>
  <c r="F13" i="5" s="1"/>
  <c r="H13" i="5" s="1"/>
  <c r="D14" i="5" s="1"/>
  <c r="F14" i="5" s="1"/>
  <c r="H14" i="5" s="1"/>
  <c r="D15" i="5" s="1"/>
  <c r="F15" i="5" s="1"/>
  <c r="H15" i="5" s="1"/>
  <c r="D16" i="5" s="1"/>
  <c r="F16" i="5" s="1"/>
  <c r="H16" i="5" s="1"/>
  <c r="D17" i="5" s="1"/>
  <c r="F17" i="5" s="1"/>
  <c r="H17" i="5" s="1"/>
  <c r="D18" i="5" s="1"/>
  <c r="F18" i="5" s="1"/>
  <c r="H18" i="5" s="1"/>
  <c r="D19" i="5" s="1"/>
  <c r="F19" i="5" s="1"/>
  <c r="H19" i="5" s="1"/>
  <c r="D20" i="5" s="1"/>
  <c r="F20" i="5" s="1"/>
  <c r="H20" i="5" s="1"/>
  <c r="D21" i="5" s="1"/>
  <c r="F21" i="5" s="1"/>
  <c r="H21" i="5" s="1"/>
  <c r="D22" i="5" s="1"/>
  <c r="F22" i="5" s="1"/>
  <c r="H22" i="5" s="1"/>
  <c r="D23" i="5" s="1"/>
  <c r="F23" i="5" s="1"/>
  <c r="H23" i="5" s="1"/>
  <c r="D24" i="5" s="1"/>
  <c r="F24" i="5" s="1"/>
  <c r="H24" i="5" s="1"/>
  <c r="D25" i="5" s="1"/>
  <c r="F25" i="5" s="1"/>
  <c r="H25" i="5" s="1"/>
  <c r="D26" i="5" s="1"/>
  <c r="F26" i="5" s="1"/>
  <c r="H26" i="5" s="1"/>
  <c r="D27" i="5" s="1"/>
  <c r="F27" i="5" s="1"/>
  <c r="H27" i="5" s="1"/>
  <c r="D28" i="5" s="1"/>
  <c r="F28" i="5" s="1"/>
  <c r="H28" i="5" s="1"/>
  <c r="D29" i="5" s="1"/>
  <c r="F29" i="5" s="1"/>
  <c r="H29" i="5" s="1"/>
  <c r="D30" i="5" s="1"/>
  <c r="F30" i="5" s="1"/>
  <c r="H30" i="5" s="1"/>
  <c r="D31" i="5" s="1"/>
  <c r="F31" i="5" s="1"/>
  <c r="H31" i="5" s="1"/>
  <c r="D32" i="5" s="1"/>
  <c r="F32" i="5" s="1"/>
  <c r="H32" i="5" s="1"/>
  <c r="D33" i="5" s="1"/>
  <c r="F33" i="5" s="1"/>
  <c r="H33" i="5" s="1"/>
  <c r="P3" i="5"/>
  <c r="L4" i="5" s="1"/>
  <c r="N4" i="5" s="1"/>
  <c r="M4" i="4"/>
  <c r="M5" i="4"/>
  <c r="P5" i="4" s="1"/>
  <c r="M6" i="4"/>
  <c r="P6" i="4" s="1"/>
  <c r="M7" i="4"/>
  <c r="P7" i="4" s="1"/>
  <c r="M8" i="4"/>
  <c r="P8" i="4" s="1"/>
  <c r="M9" i="4"/>
  <c r="P9" i="4" s="1"/>
  <c r="M10" i="4"/>
  <c r="P10" i="4" s="1"/>
  <c r="M11" i="4"/>
  <c r="P11" i="4" s="1"/>
  <c r="M12" i="4"/>
  <c r="P12" i="4" s="1"/>
  <c r="M13" i="4"/>
  <c r="P13" i="4" s="1"/>
  <c r="M14" i="4"/>
  <c r="P14" i="4" s="1"/>
  <c r="M15" i="4"/>
  <c r="P15" i="4" s="1"/>
  <c r="M16" i="4"/>
  <c r="P16" i="4" s="1"/>
  <c r="M17" i="4"/>
  <c r="P17" i="4" s="1"/>
  <c r="M18" i="4"/>
  <c r="P18" i="4" s="1"/>
  <c r="M19" i="4"/>
  <c r="P19" i="4" s="1"/>
  <c r="M20" i="4"/>
  <c r="P20" i="4" s="1"/>
  <c r="M21" i="4"/>
  <c r="P21" i="4" s="1"/>
  <c r="M22" i="4"/>
  <c r="P22" i="4" s="1"/>
  <c r="M23" i="4"/>
  <c r="P23" i="4" s="1"/>
  <c r="M24" i="4"/>
  <c r="P24" i="4" s="1"/>
  <c r="M25" i="4"/>
  <c r="P25" i="4" s="1"/>
  <c r="M26" i="4"/>
  <c r="P26" i="4" s="1"/>
  <c r="M27" i="4"/>
  <c r="P27" i="4" s="1"/>
  <c r="M28" i="4"/>
  <c r="P28" i="4" s="1"/>
  <c r="M29" i="4"/>
  <c r="P29" i="4" s="1"/>
  <c r="M30" i="4"/>
  <c r="P30" i="4" s="1"/>
  <c r="M31" i="4"/>
  <c r="P31" i="4" s="1"/>
  <c r="M32" i="4"/>
  <c r="P32" i="4" s="1"/>
  <c r="M33" i="4"/>
  <c r="P33" i="4" s="1"/>
  <c r="L26" i="4"/>
  <c r="L27" i="4"/>
  <c r="O27" i="4" s="1"/>
  <c r="T27" i="4" s="1"/>
  <c r="L28" i="4"/>
  <c r="O28" i="4" s="1"/>
  <c r="T28" i="4" s="1"/>
  <c r="L29" i="4"/>
  <c r="N29" i="4" s="1"/>
  <c r="L30" i="4"/>
  <c r="N30" i="4" s="1"/>
  <c r="L31" i="4"/>
  <c r="O31" i="4" s="1"/>
  <c r="T31" i="4" s="1"/>
  <c r="L32" i="4"/>
  <c r="N32" i="4" s="1"/>
  <c r="L33" i="4"/>
  <c r="L4" i="4"/>
  <c r="O4" i="4" s="1"/>
  <c r="L5" i="4"/>
  <c r="L6" i="4"/>
  <c r="O6" i="4" s="1"/>
  <c r="L7" i="4"/>
  <c r="O7" i="4" s="1"/>
  <c r="L8" i="4"/>
  <c r="L9" i="4"/>
  <c r="L10" i="4"/>
  <c r="O10" i="4" s="1"/>
  <c r="L11" i="4"/>
  <c r="O11" i="4" s="1"/>
  <c r="L12" i="4"/>
  <c r="L13" i="4"/>
  <c r="L14" i="4"/>
  <c r="O14" i="4" s="1"/>
  <c r="L15" i="4"/>
  <c r="O15" i="4" s="1"/>
  <c r="L16" i="4"/>
  <c r="L17" i="4"/>
  <c r="L18" i="4"/>
  <c r="O18" i="4" s="1"/>
  <c r="L19" i="4"/>
  <c r="O19" i="4" s="1"/>
  <c r="L20" i="4"/>
  <c r="L21" i="4"/>
  <c r="L22" i="4"/>
  <c r="O22" i="4" s="1"/>
  <c r="L23" i="4"/>
  <c r="O23" i="4" s="1"/>
  <c r="L24" i="4"/>
  <c r="O24" i="4" s="1"/>
  <c r="L25" i="4"/>
  <c r="M3" i="4"/>
  <c r="P3" i="4" s="1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" i="4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P3" i="2"/>
  <c r="K3" i="2"/>
  <c r="G3" i="2"/>
  <c r="F3" i="2"/>
  <c r="L33" i="1"/>
  <c r="L26" i="1"/>
  <c r="L27" i="1"/>
  <c r="L28" i="1"/>
  <c r="L29" i="1"/>
  <c r="L30" i="1"/>
  <c r="L31" i="1"/>
  <c r="L3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K3" i="1"/>
  <c r="G25" i="1"/>
  <c r="G26" i="1"/>
  <c r="G27" i="1"/>
  <c r="G28" i="1"/>
  <c r="G29" i="1"/>
  <c r="G30" i="1"/>
  <c r="G31" i="1"/>
  <c r="G32" i="1"/>
  <c r="G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" i="4"/>
  <c r="S3" i="4"/>
  <c r="U3" i="1"/>
  <c r="P3" i="1"/>
  <c r="T15" i="4" l="1"/>
  <c r="N14" i="4"/>
  <c r="T14" i="4"/>
  <c r="T23" i="4"/>
  <c r="N28" i="4"/>
  <c r="T4" i="4"/>
  <c r="T7" i="4"/>
  <c r="T22" i="4"/>
  <c r="N18" i="4"/>
  <c r="T18" i="4"/>
  <c r="N10" i="4"/>
  <c r="T19" i="4"/>
  <c r="T11" i="4"/>
  <c r="N17" i="4"/>
  <c r="T10" i="4"/>
  <c r="N24" i="4"/>
  <c r="N16" i="4"/>
  <c r="T24" i="4"/>
  <c r="T6" i="4"/>
  <c r="N6" i="4"/>
  <c r="M3" i="1"/>
  <c r="P4" i="5"/>
  <c r="L5" i="5" s="1"/>
  <c r="N5" i="5" s="1"/>
  <c r="P5" i="5" s="1"/>
  <c r="L6" i="5" s="1"/>
  <c r="N6" i="5" s="1"/>
  <c r="P6" i="5" s="1"/>
  <c r="L7" i="5" s="1"/>
  <c r="N7" i="5" s="1"/>
  <c r="P7" i="5" s="1"/>
  <c r="L8" i="5" s="1"/>
  <c r="N8" i="5" s="1"/>
  <c r="P8" i="5" s="1"/>
  <c r="L9" i="5" s="1"/>
  <c r="N9" i="5" s="1"/>
  <c r="P9" i="5" s="1"/>
  <c r="L10" i="5" s="1"/>
  <c r="N10" i="5" s="1"/>
  <c r="P10" i="5" s="1"/>
  <c r="L11" i="5" s="1"/>
  <c r="N11" i="5" s="1"/>
  <c r="P11" i="5" s="1"/>
  <c r="L12" i="5" s="1"/>
  <c r="N12" i="5" s="1"/>
  <c r="P12" i="5" s="1"/>
  <c r="L13" i="5" s="1"/>
  <c r="N13" i="5" s="1"/>
  <c r="P13" i="5" s="1"/>
  <c r="L14" i="5" s="1"/>
  <c r="N14" i="5" s="1"/>
  <c r="P14" i="5" s="1"/>
  <c r="L15" i="5" s="1"/>
  <c r="N15" i="5" s="1"/>
  <c r="P15" i="5" s="1"/>
  <c r="L16" i="5" s="1"/>
  <c r="N16" i="5" s="1"/>
  <c r="P16" i="5" s="1"/>
  <c r="L17" i="5" s="1"/>
  <c r="N17" i="5" s="1"/>
  <c r="P17" i="5" s="1"/>
  <c r="L18" i="5" s="1"/>
  <c r="N18" i="5" s="1"/>
  <c r="P18" i="5" s="1"/>
  <c r="L19" i="5" s="1"/>
  <c r="N19" i="5" s="1"/>
  <c r="P19" i="5" s="1"/>
  <c r="L20" i="5" s="1"/>
  <c r="N20" i="5" s="1"/>
  <c r="P20" i="5" s="1"/>
  <c r="L21" i="5" s="1"/>
  <c r="N21" i="5" s="1"/>
  <c r="P21" i="5" s="1"/>
  <c r="L22" i="5" s="1"/>
  <c r="N22" i="5" s="1"/>
  <c r="P22" i="5" s="1"/>
  <c r="L23" i="5" s="1"/>
  <c r="N23" i="5" s="1"/>
  <c r="P23" i="5" s="1"/>
  <c r="L24" i="5" s="1"/>
  <c r="N24" i="5" s="1"/>
  <c r="P24" i="5" s="1"/>
  <c r="L25" i="5" s="1"/>
  <c r="N25" i="5" s="1"/>
  <c r="P25" i="5" s="1"/>
  <c r="L26" i="5" s="1"/>
  <c r="N26" i="5" s="1"/>
  <c r="P26" i="5" s="1"/>
  <c r="L27" i="5" s="1"/>
  <c r="N27" i="5" s="1"/>
  <c r="P27" i="5" s="1"/>
  <c r="L28" i="5" s="1"/>
  <c r="N28" i="5" s="1"/>
  <c r="P28" i="5" s="1"/>
  <c r="L29" i="5" s="1"/>
  <c r="N29" i="5" s="1"/>
  <c r="P29" i="5" s="1"/>
  <c r="L30" i="5" s="1"/>
  <c r="N30" i="5" s="1"/>
  <c r="P30" i="5" s="1"/>
  <c r="L31" i="5" s="1"/>
  <c r="N31" i="5" s="1"/>
  <c r="P31" i="5" s="1"/>
  <c r="L32" i="5" s="1"/>
  <c r="N32" i="5" s="1"/>
  <c r="P32" i="5" s="1"/>
  <c r="L33" i="5" s="1"/>
  <c r="N33" i="5" s="1"/>
  <c r="P33" i="5" s="1"/>
  <c r="V7" i="5"/>
  <c r="R8" i="5" s="1"/>
  <c r="T8" i="5" s="1"/>
  <c r="V8" i="5" s="1"/>
  <c r="R9" i="5" s="1"/>
  <c r="T9" i="5" s="1"/>
  <c r="V9" i="5" s="1"/>
  <c r="R10" i="5" s="1"/>
  <c r="T10" i="5" s="1"/>
  <c r="V10" i="5" s="1"/>
  <c r="R11" i="5" s="1"/>
  <c r="T11" i="5" s="1"/>
  <c r="V11" i="5" s="1"/>
  <c r="R12" i="5" s="1"/>
  <c r="T12" i="5" s="1"/>
  <c r="V12" i="5" s="1"/>
  <c r="R13" i="5" s="1"/>
  <c r="T13" i="5" s="1"/>
  <c r="V13" i="5" s="1"/>
  <c r="R14" i="5" s="1"/>
  <c r="T14" i="5" s="1"/>
  <c r="V14" i="5" s="1"/>
  <c r="R15" i="5" s="1"/>
  <c r="T15" i="5" s="1"/>
  <c r="V15" i="5" s="1"/>
  <c r="R16" i="5" s="1"/>
  <c r="T16" i="5" s="1"/>
  <c r="V16" i="5" s="1"/>
  <c r="R17" i="5" s="1"/>
  <c r="T17" i="5" s="1"/>
  <c r="V17" i="5" s="1"/>
  <c r="R18" i="5" s="1"/>
  <c r="T18" i="5" s="1"/>
  <c r="V18" i="5" s="1"/>
  <c r="R19" i="5" s="1"/>
  <c r="T19" i="5" s="1"/>
  <c r="V19" i="5" s="1"/>
  <c r="R20" i="5" s="1"/>
  <c r="T20" i="5" s="1"/>
  <c r="V20" i="5" s="1"/>
  <c r="R21" i="5" s="1"/>
  <c r="T21" i="5" s="1"/>
  <c r="V21" i="5" s="1"/>
  <c r="R22" i="5" s="1"/>
  <c r="T22" i="5" s="1"/>
  <c r="V22" i="5" s="1"/>
  <c r="R23" i="5" s="1"/>
  <c r="T23" i="5" s="1"/>
  <c r="V23" i="5" s="1"/>
  <c r="R24" i="5" s="1"/>
  <c r="T24" i="5" s="1"/>
  <c r="V24" i="5" s="1"/>
  <c r="R25" i="5" s="1"/>
  <c r="T25" i="5" s="1"/>
  <c r="V25" i="5" s="1"/>
  <c r="R26" i="5" s="1"/>
  <c r="T26" i="5" s="1"/>
  <c r="V26" i="5" s="1"/>
  <c r="R27" i="5" s="1"/>
  <c r="T27" i="5" s="1"/>
  <c r="V27" i="5" s="1"/>
  <c r="R28" i="5" s="1"/>
  <c r="T28" i="5" s="1"/>
  <c r="V28" i="5" s="1"/>
  <c r="R29" i="5" s="1"/>
  <c r="T29" i="5" s="1"/>
  <c r="V29" i="5" s="1"/>
  <c r="R30" i="5" s="1"/>
  <c r="T30" i="5" s="1"/>
  <c r="V30" i="5" s="1"/>
  <c r="R31" i="5" s="1"/>
  <c r="T31" i="5" s="1"/>
  <c r="V31" i="5" s="1"/>
  <c r="R32" i="5" s="1"/>
  <c r="T32" i="5" s="1"/>
  <c r="V32" i="5" s="1"/>
  <c r="R33" i="5" s="1"/>
  <c r="T33" i="5" s="1"/>
  <c r="V33" i="5" s="1"/>
  <c r="N21" i="4"/>
  <c r="O21" i="4"/>
  <c r="T21" i="4" s="1"/>
  <c r="O13" i="4"/>
  <c r="T13" i="4" s="1"/>
  <c r="O5" i="4"/>
  <c r="T5" i="4" s="1"/>
  <c r="N20" i="4"/>
  <c r="O20" i="4"/>
  <c r="T20" i="4" s="1"/>
  <c r="O12" i="4"/>
  <c r="T12" i="4" s="1"/>
  <c r="O26" i="4"/>
  <c r="T26" i="4" s="1"/>
  <c r="N3" i="4"/>
  <c r="O3" i="4"/>
  <c r="T3" i="4" s="1"/>
  <c r="O33" i="4"/>
  <c r="T33" i="4" s="1"/>
  <c r="N12" i="4"/>
  <c r="O32" i="4"/>
  <c r="T32" i="4" s="1"/>
  <c r="N25" i="4"/>
  <c r="O25" i="4"/>
  <c r="T25" i="4" s="1"/>
  <c r="O17" i="4"/>
  <c r="N9" i="4"/>
  <c r="O9" i="4"/>
  <c r="T9" i="4" s="1"/>
  <c r="O16" i="4"/>
  <c r="T16" i="4" s="1"/>
  <c r="N8" i="4"/>
  <c r="O8" i="4"/>
  <c r="T8" i="4" s="1"/>
  <c r="O30" i="4"/>
  <c r="T30" i="4" s="1"/>
  <c r="N22" i="4"/>
  <c r="O29" i="4"/>
  <c r="T29" i="4" s="1"/>
  <c r="N33" i="4"/>
  <c r="N5" i="4"/>
  <c r="N26" i="4"/>
  <c r="N13" i="4"/>
  <c r="R3" i="2"/>
  <c r="N4" i="2" s="1"/>
  <c r="P4" i="2" s="1"/>
  <c r="R4" i="2" s="1"/>
  <c r="N5" i="2" s="1"/>
  <c r="P5" i="2" s="1"/>
  <c r="R5" i="2" s="1"/>
  <c r="N6" i="2" s="1"/>
  <c r="P6" i="2" s="1"/>
  <c r="R6" i="2" s="1"/>
  <c r="N7" i="2" s="1"/>
  <c r="P7" i="2" s="1"/>
  <c r="R7" i="2" s="1"/>
  <c r="N8" i="2" s="1"/>
  <c r="P8" i="2" s="1"/>
  <c r="R8" i="2" s="1"/>
  <c r="N9" i="2" s="1"/>
  <c r="P9" i="2" s="1"/>
  <c r="R9" i="2" s="1"/>
  <c r="N10" i="2" s="1"/>
  <c r="P10" i="2" s="1"/>
  <c r="R10" i="2" s="1"/>
  <c r="N11" i="2" s="1"/>
  <c r="P11" i="2" s="1"/>
  <c r="R11" i="2" s="1"/>
  <c r="N12" i="2" s="1"/>
  <c r="P12" i="2" s="1"/>
  <c r="R12" i="2" s="1"/>
  <c r="N13" i="2" s="1"/>
  <c r="P13" i="2" s="1"/>
  <c r="R13" i="2" s="1"/>
  <c r="N14" i="2" s="1"/>
  <c r="P14" i="2" s="1"/>
  <c r="R14" i="2" s="1"/>
  <c r="N15" i="2" s="1"/>
  <c r="P15" i="2" s="1"/>
  <c r="R15" i="2" s="1"/>
  <c r="N16" i="2" s="1"/>
  <c r="P16" i="2" s="1"/>
  <c r="R16" i="2" s="1"/>
  <c r="N17" i="2" s="1"/>
  <c r="P17" i="2" s="1"/>
  <c r="R17" i="2" s="1"/>
  <c r="N18" i="2" s="1"/>
  <c r="P18" i="2" s="1"/>
  <c r="R18" i="2" s="1"/>
  <c r="N19" i="2" s="1"/>
  <c r="P19" i="2" s="1"/>
  <c r="R19" i="2" s="1"/>
  <c r="N20" i="2" s="1"/>
  <c r="P20" i="2" s="1"/>
  <c r="R20" i="2" s="1"/>
  <c r="N21" i="2" s="1"/>
  <c r="P21" i="2" s="1"/>
  <c r="R21" i="2" s="1"/>
  <c r="N22" i="2" s="1"/>
  <c r="P22" i="2" s="1"/>
  <c r="R22" i="2" s="1"/>
  <c r="N23" i="2" s="1"/>
  <c r="P23" i="2" s="1"/>
  <c r="R23" i="2" s="1"/>
  <c r="N24" i="2" s="1"/>
  <c r="P24" i="2" s="1"/>
  <c r="R24" i="2" s="1"/>
  <c r="N25" i="2" s="1"/>
  <c r="P25" i="2" s="1"/>
  <c r="R25" i="2" s="1"/>
  <c r="N26" i="2" s="1"/>
  <c r="P26" i="2" s="1"/>
  <c r="R26" i="2" s="1"/>
  <c r="N27" i="2" s="1"/>
  <c r="P27" i="2" s="1"/>
  <c r="R27" i="2" s="1"/>
  <c r="N28" i="2" s="1"/>
  <c r="P28" i="2" s="1"/>
  <c r="R28" i="2" s="1"/>
  <c r="N29" i="2" s="1"/>
  <c r="P29" i="2" s="1"/>
  <c r="R29" i="2" s="1"/>
  <c r="N30" i="2" s="1"/>
  <c r="P30" i="2" s="1"/>
  <c r="R30" i="2" s="1"/>
  <c r="N31" i="2" s="1"/>
  <c r="P31" i="2" s="1"/>
  <c r="R31" i="2" s="1"/>
  <c r="N32" i="2" s="1"/>
  <c r="P32" i="2" s="1"/>
  <c r="R32" i="2" s="1"/>
  <c r="N33" i="2" s="1"/>
  <c r="P33" i="2" s="1"/>
  <c r="R33" i="2" s="1"/>
  <c r="H3" i="2"/>
  <c r="D4" i="2" s="1"/>
  <c r="F4" i="2" s="1"/>
  <c r="H4" i="2" s="1"/>
  <c r="D5" i="2" s="1"/>
  <c r="F5" i="2" s="1"/>
  <c r="H5" i="2" s="1"/>
  <c r="D6" i="2" s="1"/>
  <c r="F6" i="2" s="1"/>
  <c r="H6" i="2" s="1"/>
  <c r="M3" i="2"/>
  <c r="N4" i="4"/>
  <c r="N27" i="4"/>
  <c r="N31" i="4"/>
  <c r="N7" i="4"/>
  <c r="N11" i="4"/>
  <c r="N15" i="4"/>
  <c r="N19" i="4"/>
  <c r="N23" i="4"/>
  <c r="I17" i="3"/>
  <c r="K17" i="3" s="1"/>
  <c r="M17" i="3" s="1"/>
  <c r="I18" i="3" s="1"/>
  <c r="K18" i="3" s="1"/>
  <c r="M18" i="3" s="1"/>
  <c r="I19" i="3" s="1"/>
  <c r="K19" i="3" s="1"/>
  <c r="M19" i="3" s="1"/>
  <c r="I20" i="3" s="1"/>
  <c r="K20" i="3" s="1"/>
  <c r="M20" i="3" s="1"/>
  <c r="I21" i="3" s="1"/>
  <c r="K21" i="3" s="1"/>
  <c r="M21" i="3" s="1"/>
  <c r="I22" i="3" s="1"/>
  <c r="K22" i="3" s="1"/>
  <c r="M22" i="3" s="1"/>
  <c r="I23" i="3" s="1"/>
  <c r="K23" i="3" s="1"/>
  <c r="M23" i="3" s="1"/>
  <c r="I24" i="3" s="1"/>
  <c r="K24" i="3" s="1"/>
  <c r="M24" i="3" s="1"/>
  <c r="I25" i="3" s="1"/>
  <c r="K25" i="3" s="1"/>
  <c r="M25" i="3" s="1"/>
  <c r="I26" i="3" s="1"/>
  <c r="K26" i="3" s="1"/>
  <c r="M26" i="3" s="1"/>
  <c r="I27" i="3" s="1"/>
  <c r="K27" i="3" s="1"/>
  <c r="M27" i="3" s="1"/>
  <c r="I28" i="3" s="1"/>
  <c r="K28" i="3" s="1"/>
  <c r="M28" i="3" s="1"/>
  <c r="I29" i="3" s="1"/>
  <c r="K29" i="3" s="1"/>
  <c r="M29" i="3" s="1"/>
  <c r="I30" i="3" s="1"/>
  <c r="K30" i="3" s="1"/>
  <c r="M30" i="3" s="1"/>
  <c r="I31" i="3" s="1"/>
  <c r="K31" i="3" s="1"/>
  <c r="M31" i="3" s="1"/>
  <c r="I32" i="3" s="1"/>
  <c r="K32" i="3" s="1"/>
  <c r="M32" i="3" s="1"/>
  <c r="I33" i="3" s="1"/>
  <c r="K33" i="3" s="1"/>
  <c r="M33" i="3" s="1"/>
  <c r="Q4" i="4"/>
  <c r="S4" i="4" s="1"/>
  <c r="U4" i="4" s="1"/>
  <c r="S5" i="4" s="1"/>
  <c r="F3" i="1"/>
  <c r="H3" i="1" s="1"/>
  <c r="W3" i="1"/>
  <c r="S4" i="1" s="1"/>
  <c r="U4" i="1" s="1"/>
  <c r="W4" i="1" s="1"/>
  <c r="S5" i="1" s="1"/>
  <c r="U5" i="1" s="1"/>
  <c r="W5" i="1" s="1"/>
  <c r="S6" i="1" s="1"/>
  <c r="U6" i="1" s="1"/>
  <c r="W6" i="1" s="1"/>
  <c r="S7" i="1" s="1"/>
  <c r="U7" i="1" s="1"/>
  <c r="W7" i="1" s="1"/>
  <c r="S8" i="1" s="1"/>
  <c r="U8" i="1" s="1"/>
  <c r="W8" i="1" s="1"/>
  <c r="S9" i="1" s="1"/>
  <c r="U9" i="1" s="1"/>
  <c r="W9" i="1" s="1"/>
  <c r="S10" i="1" s="1"/>
  <c r="U10" i="1" s="1"/>
  <c r="W10" i="1" s="1"/>
  <c r="S11" i="1" s="1"/>
  <c r="U11" i="1" s="1"/>
  <c r="W11" i="1" s="1"/>
  <c r="S12" i="1" s="1"/>
  <c r="U12" i="1" s="1"/>
  <c r="W12" i="1" s="1"/>
  <c r="S13" i="1" s="1"/>
  <c r="U13" i="1" s="1"/>
  <c r="W13" i="1" s="1"/>
  <c r="S14" i="1" s="1"/>
  <c r="U14" i="1" s="1"/>
  <c r="W14" i="1" s="1"/>
  <c r="S15" i="1" s="1"/>
  <c r="U15" i="1" s="1"/>
  <c r="W15" i="1" s="1"/>
  <c r="S16" i="1" s="1"/>
  <c r="U16" i="1" s="1"/>
  <c r="W16" i="1" s="1"/>
  <c r="S17" i="1" s="1"/>
  <c r="U17" i="1" s="1"/>
  <c r="W17" i="1" s="1"/>
  <c r="S18" i="1" s="1"/>
  <c r="U18" i="1" s="1"/>
  <c r="W18" i="1" s="1"/>
  <c r="S19" i="1" s="1"/>
  <c r="U19" i="1" s="1"/>
  <c r="W19" i="1" s="1"/>
  <c r="S20" i="1" s="1"/>
  <c r="U20" i="1" s="1"/>
  <c r="W20" i="1" s="1"/>
  <c r="S21" i="1" s="1"/>
  <c r="U21" i="1" s="1"/>
  <c r="W21" i="1" s="1"/>
  <c r="S22" i="1" s="1"/>
  <c r="U22" i="1" s="1"/>
  <c r="W22" i="1" s="1"/>
  <c r="S23" i="1" s="1"/>
  <c r="U23" i="1" s="1"/>
  <c r="W23" i="1" s="1"/>
  <c r="S24" i="1" s="1"/>
  <c r="U24" i="1" s="1"/>
  <c r="W24" i="1" s="1"/>
  <c r="S25" i="1" s="1"/>
  <c r="U25" i="1" s="1"/>
  <c r="W25" i="1" s="1"/>
  <c r="S26" i="1" s="1"/>
  <c r="U26" i="1" s="1"/>
  <c r="W26" i="1" s="1"/>
  <c r="S27" i="1" s="1"/>
  <c r="U27" i="1" s="1"/>
  <c r="W27" i="1" s="1"/>
  <c r="S28" i="1" s="1"/>
  <c r="U28" i="1" s="1"/>
  <c r="W28" i="1" s="1"/>
  <c r="S29" i="1" s="1"/>
  <c r="U29" i="1" s="1"/>
  <c r="W29" i="1" s="1"/>
  <c r="S30" i="1" s="1"/>
  <c r="U30" i="1" s="1"/>
  <c r="W30" i="1" s="1"/>
  <c r="S31" i="1" s="1"/>
  <c r="U31" i="1" s="1"/>
  <c r="W31" i="1" s="1"/>
  <c r="S32" i="1" s="1"/>
  <c r="U32" i="1" s="1"/>
  <c r="W32" i="1" s="1"/>
  <c r="S33" i="1" s="1"/>
  <c r="U33" i="1" s="1"/>
  <c r="W33" i="1" s="1"/>
  <c r="R3" i="1"/>
  <c r="N4" i="1" s="1"/>
  <c r="P4" i="1" s="1"/>
  <c r="R4" i="1" s="1"/>
  <c r="N5" i="1" s="1"/>
  <c r="P5" i="1" s="1"/>
  <c r="R5" i="1" s="1"/>
  <c r="N6" i="1" s="1"/>
  <c r="P6" i="1" s="1"/>
  <c r="R6" i="1" s="1"/>
  <c r="N7" i="1" s="1"/>
  <c r="P7" i="1" s="1"/>
  <c r="R7" i="1" s="1"/>
  <c r="N8" i="1" s="1"/>
  <c r="P8" i="1" s="1"/>
  <c r="R8" i="1" s="1"/>
  <c r="N9" i="1" s="1"/>
  <c r="P9" i="1" s="1"/>
  <c r="R9" i="1" s="1"/>
  <c r="N10" i="1" s="1"/>
  <c r="P10" i="1" s="1"/>
  <c r="R10" i="1" s="1"/>
  <c r="N11" i="1" s="1"/>
  <c r="P11" i="1" s="1"/>
  <c r="R11" i="1" s="1"/>
  <c r="N12" i="1" s="1"/>
  <c r="P12" i="1" s="1"/>
  <c r="R12" i="1" s="1"/>
  <c r="N13" i="1" s="1"/>
  <c r="P13" i="1" s="1"/>
  <c r="R13" i="1" s="1"/>
  <c r="N14" i="1" s="1"/>
  <c r="P14" i="1" s="1"/>
  <c r="R14" i="1" s="1"/>
  <c r="N15" i="1" s="1"/>
  <c r="P15" i="1" s="1"/>
  <c r="R15" i="1" s="1"/>
  <c r="N16" i="1" s="1"/>
  <c r="P16" i="1" s="1"/>
  <c r="R16" i="1" s="1"/>
  <c r="N17" i="1" s="1"/>
  <c r="P17" i="1" s="1"/>
  <c r="R17" i="1" s="1"/>
  <c r="N18" i="1" s="1"/>
  <c r="P18" i="1" s="1"/>
  <c r="R18" i="1" s="1"/>
  <c r="N19" i="1" s="1"/>
  <c r="P19" i="1" s="1"/>
  <c r="R19" i="1" s="1"/>
  <c r="N20" i="1" s="1"/>
  <c r="P20" i="1" s="1"/>
  <c r="R20" i="1" s="1"/>
  <c r="N21" i="1" s="1"/>
  <c r="P21" i="1" s="1"/>
  <c r="R21" i="1" s="1"/>
  <c r="N22" i="1" s="1"/>
  <c r="P22" i="1" s="1"/>
  <c r="R22" i="1" s="1"/>
  <c r="N23" i="1" s="1"/>
  <c r="P23" i="1" s="1"/>
  <c r="R23" i="1" s="1"/>
  <c r="N24" i="1" s="1"/>
  <c r="P24" i="1" s="1"/>
  <c r="R24" i="1" s="1"/>
  <c r="N25" i="1" s="1"/>
  <c r="P25" i="1" s="1"/>
  <c r="R25" i="1" s="1"/>
  <c r="N26" i="1" s="1"/>
  <c r="P26" i="1" s="1"/>
  <c r="R26" i="1" s="1"/>
  <c r="N27" i="1" s="1"/>
  <c r="P27" i="1" s="1"/>
  <c r="R27" i="1" s="1"/>
  <c r="N28" i="1" s="1"/>
  <c r="P28" i="1" s="1"/>
  <c r="R28" i="1" s="1"/>
  <c r="N29" i="1" s="1"/>
  <c r="P29" i="1" s="1"/>
  <c r="R29" i="1" s="1"/>
  <c r="N30" i="1" s="1"/>
  <c r="P30" i="1" s="1"/>
  <c r="R30" i="1" s="1"/>
  <c r="N31" i="1" s="1"/>
  <c r="P31" i="1" s="1"/>
  <c r="R31" i="1" s="1"/>
  <c r="N32" i="1" s="1"/>
  <c r="P32" i="1" s="1"/>
  <c r="R32" i="1" s="1"/>
  <c r="N33" i="1" s="1"/>
  <c r="P33" i="1" s="1"/>
  <c r="R33" i="1" s="1"/>
  <c r="D4" i="1" l="1"/>
  <c r="F4" i="1" s="1"/>
  <c r="H4" i="1" s="1"/>
  <c r="I4" i="1"/>
  <c r="K4" i="1" s="1"/>
  <c r="M4" i="1" s="1"/>
  <c r="T17" i="4"/>
  <c r="D7" i="2"/>
  <c r="F7" i="2" s="1"/>
  <c r="H7" i="2" s="1"/>
  <c r="D8" i="2" s="1"/>
  <c r="F8" i="2" s="1"/>
  <c r="H8" i="2" s="1"/>
  <c r="D9" i="2" s="1"/>
  <c r="F9" i="2" s="1"/>
  <c r="H9" i="2" s="1"/>
  <c r="D10" i="2" s="1"/>
  <c r="F10" i="2" s="1"/>
  <c r="H10" i="2" s="1"/>
  <c r="D11" i="2" s="1"/>
  <c r="F11" i="2" s="1"/>
  <c r="H11" i="2" s="1"/>
  <c r="D12" i="2" s="1"/>
  <c r="F12" i="2" s="1"/>
  <c r="H12" i="2" s="1"/>
  <c r="D13" i="2" s="1"/>
  <c r="F13" i="2" s="1"/>
  <c r="H13" i="2" s="1"/>
  <c r="D14" i="2" s="1"/>
  <c r="F14" i="2" s="1"/>
  <c r="H14" i="2" s="1"/>
  <c r="D15" i="2" s="1"/>
  <c r="F15" i="2" s="1"/>
  <c r="H15" i="2" s="1"/>
  <c r="D16" i="2" s="1"/>
  <c r="F16" i="2" s="1"/>
  <c r="H16" i="2" s="1"/>
  <c r="D17" i="2" s="1"/>
  <c r="F17" i="2" s="1"/>
  <c r="H17" i="2" s="1"/>
  <c r="D18" i="2" s="1"/>
  <c r="F18" i="2" s="1"/>
  <c r="H18" i="2" s="1"/>
  <c r="D19" i="2" s="1"/>
  <c r="F19" i="2" s="1"/>
  <c r="H19" i="2" s="1"/>
  <c r="D20" i="2" s="1"/>
  <c r="F20" i="2" s="1"/>
  <c r="H20" i="2" s="1"/>
  <c r="D21" i="2" s="1"/>
  <c r="F21" i="2" s="1"/>
  <c r="H21" i="2" s="1"/>
  <c r="D22" i="2" s="1"/>
  <c r="F22" i="2" s="1"/>
  <c r="H22" i="2" s="1"/>
  <c r="D23" i="2" s="1"/>
  <c r="F23" i="2" s="1"/>
  <c r="H23" i="2" s="1"/>
  <c r="D24" i="2" s="1"/>
  <c r="F24" i="2" s="1"/>
  <c r="H24" i="2" s="1"/>
  <c r="D25" i="2" s="1"/>
  <c r="F25" i="2" s="1"/>
  <c r="H25" i="2" s="1"/>
  <c r="D26" i="2" s="1"/>
  <c r="F26" i="2" s="1"/>
  <c r="H26" i="2" s="1"/>
  <c r="D27" i="2" s="1"/>
  <c r="F27" i="2" s="1"/>
  <c r="H27" i="2" s="1"/>
  <c r="D28" i="2" s="1"/>
  <c r="F28" i="2" s="1"/>
  <c r="H28" i="2" s="1"/>
  <c r="D29" i="2" s="1"/>
  <c r="F29" i="2" s="1"/>
  <c r="H29" i="2" s="1"/>
  <c r="D30" i="2" s="1"/>
  <c r="F30" i="2" s="1"/>
  <c r="H30" i="2" s="1"/>
  <c r="D31" i="2" s="1"/>
  <c r="F31" i="2" s="1"/>
  <c r="H31" i="2" s="1"/>
  <c r="D32" i="2" s="1"/>
  <c r="F32" i="2" s="1"/>
  <c r="H32" i="2" s="1"/>
  <c r="D33" i="2" s="1"/>
  <c r="F33" i="2" s="1"/>
  <c r="H33" i="2" s="1"/>
  <c r="U5" i="4"/>
  <c r="Q6" i="4" s="1"/>
  <c r="S6" i="4" s="1"/>
  <c r="U6" i="4" s="1"/>
  <c r="Q7" i="4" s="1"/>
  <c r="S7" i="4" s="1"/>
  <c r="U7" i="4" s="1"/>
  <c r="Q8" i="4" s="1"/>
  <c r="S8" i="4" s="1"/>
  <c r="U8" i="4" s="1"/>
  <c r="Q9" i="4" s="1"/>
  <c r="S9" i="4" s="1"/>
  <c r="U9" i="4" s="1"/>
  <c r="Q10" i="4" s="1"/>
  <c r="S10" i="4" s="1"/>
  <c r="U10" i="4" s="1"/>
  <c r="Q11" i="4" s="1"/>
  <c r="S11" i="4" s="1"/>
  <c r="U11" i="4" s="1"/>
  <c r="Q12" i="4" s="1"/>
  <c r="S12" i="4" s="1"/>
  <c r="U12" i="4" s="1"/>
  <c r="Q13" i="4" s="1"/>
  <c r="S13" i="4" s="1"/>
  <c r="U13" i="4" s="1"/>
  <c r="Q14" i="4" s="1"/>
  <c r="S14" i="4" s="1"/>
  <c r="U14" i="4" s="1"/>
  <c r="Q15" i="4" s="1"/>
  <c r="S15" i="4" s="1"/>
  <c r="U15" i="4" s="1"/>
  <c r="Q16" i="4" s="1"/>
  <c r="S16" i="4" s="1"/>
  <c r="U16" i="4" s="1"/>
  <c r="Q17" i="4" s="1"/>
  <c r="S17" i="4" s="1"/>
  <c r="I4" i="2"/>
  <c r="K4" i="2" s="1"/>
  <c r="M4" i="2" s="1"/>
  <c r="I5" i="2" s="1"/>
  <c r="K5" i="2" s="1"/>
  <c r="M5" i="2" s="1"/>
  <c r="I6" i="2" s="1"/>
  <c r="K6" i="2" s="1"/>
  <c r="M6" i="2" s="1"/>
  <c r="I7" i="2" s="1"/>
  <c r="K7" i="2" s="1"/>
  <c r="M7" i="2" s="1"/>
  <c r="I8" i="2" s="1"/>
  <c r="K8" i="2" s="1"/>
  <c r="M8" i="2" s="1"/>
  <c r="I9" i="2" s="1"/>
  <c r="K9" i="2" s="1"/>
  <c r="M9" i="2" s="1"/>
  <c r="I10" i="2" s="1"/>
  <c r="K10" i="2" s="1"/>
  <c r="M10" i="2" s="1"/>
  <c r="I11" i="2" s="1"/>
  <c r="K11" i="2" s="1"/>
  <c r="M11" i="2" s="1"/>
  <c r="I12" i="2" s="1"/>
  <c r="K12" i="2" s="1"/>
  <c r="M12" i="2" s="1"/>
  <c r="I13" i="2" s="1"/>
  <c r="K13" i="2" s="1"/>
  <c r="M13" i="2" s="1"/>
  <c r="I14" i="2" s="1"/>
  <c r="K14" i="2" s="1"/>
  <c r="M14" i="2" s="1"/>
  <c r="I15" i="2" s="1"/>
  <c r="K15" i="2" s="1"/>
  <c r="M15" i="2" s="1"/>
  <c r="I16" i="2" s="1"/>
  <c r="K16" i="2" s="1"/>
  <c r="M16" i="2" s="1"/>
  <c r="I17" i="2" s="1"/>
  <c r="K17" i="2" s="1"/>
  <c r="M17" i="2" s="1"/>
  <c r="I18" i="2" s="1"/>
  <c r="K18" i="2" s="1"/>
  <c r="M18" i="2" s="1"/>
  <c r="I19" i="2" s="1"/>
  <c r="K19" i="2" s="1"/>
  <c r="M19" i="2" s="1"/>
  <c r="I20" i="2" s="1"/>
  <c r="K20" i="2" s="1"/>
  <c r="M20" i="2" s="1"/>
  <c r="I21" i="2" s="1"/>
  <c r="K21" i="2" s="1"/>
  <c r="M21" i="2" s="1"/>
  <c r="I22" i="2" s="1"/>
  <c r="K22" i="2" s="1"/>
  <c r="M22" i="2" s="1"/>
  <c r="I23" i="2" s="1"/>
  <c r="K23" i="2" s="1"/>
  <c r="M23" i="2" s="1"/>
  <c r="I24" i="2" s="1"/>
  <c r="K24" i="2" s="1"/>
  <c r="M24" i="2" s="1"/>
  <c r="I25" i="2" s="1"/>
  <c r="K25" i="2" s="1"/>
  <c r="M25" i="2" s="1"/>
  <c r="I26" i="2" s="1"/>
  <c r="K26" i="2" s="1"/>
  <c r="M26" i="2" s="1"/>
  <c r="I27" i="2" s="1"/>
  <c r="K27" i="2" s="1"/>
  <c r="M27" i="2" s="1"/>
  <c r="I28" i="2" s="1"/>
  <c r="K28" i="2" s="1"/>
  <c r="M28" i="2" s="1"/>
  <c r="I29" i="2" s="1"/>
  <c r="K29" i="2" s="1"/>
  <c r="M29" i="2" s="1"/>
  <c r="I30" i="2" s="1"/>
  <c r="K30" i="2" s="1"/>
  <c r="M30" i="2" s="1"/>
  <c r="I31" i="2" s="1"/>
  <c r="K31" i="2" s="1"/>
  <c r="M31" i="2" s="1"/>
  <c r="I32" i="2" s="1"/>
  <c r="K32" i="2" s="1"/>
  <c r="M32" i="2" s="1"/>
  <c r="I33" i="2" s="1"/>
  <c r="K33" i="2" s="1"/>
  <c r="M33" i="2" s="1"/>
  <c r="D5" i="1" l="1"/>
  <c r="F5" i="1" s="1"/>
  <c r="H5" i="1" s="1"/>
  <c r="I5" i="1"/>
  <c r="K5" i="1" s="1"/>
  <c r="M5" i="1" s="1"/>
  <c r="U17" i="4"/>
  <c r="Q18" i="4" s="1"/>
  <c r="S18" i="4" s="1"/>
  <c r="U18" i="4" s="1"/>
  <c r="Q19" i="4" s="1"/>
  <c r="S19" i="4" s="1"/>
  <c r="U19" i="4" s="1"/>
  <c r="Q20" i="4" s="1"/>
  <c r="S20" i="4" s="1"/>
  <c r="U20" i="4" s="1"/>
  <c r="Q21" i="4" s="1"/>
  <c r="S21" i="4" s="1"/>
  <c r="U21" i="4" s="1"/>
  <c r="Q22" i="4" s="1"/>
  <c r="S22" i="4" s="1"/>
  <c r="U22" i="4" s="1"/>
  <c r="Q23" i="4" s="1"/>
  <c r="S23" i="4" s="1"/>
  <c r="U23" i="4" s="1"/>
  <c r="Q24" i="4" s="1"/>
  <c r="S24" i="4" s="1"/>
  <c r="U24" i="4" s="1"/>
  <c r="Q25" i="4" s="1"/>
  <c r="S25" i="4" s="1"/>
  <c r="U25" i="4" s="1"/>
  <c r="Q26" i="4" s="1"/>
  <c r="S26" i="4" s="1"/>
  <c r="U26" i="4" s="1"/>
  <c r="Q27" i="4" s="1"/>
  <c r="S27" i="4" s="1"/>
  <c r="U27" i="4" s="1"/>
  <c r="Q28" i="4" s="1"/>
  <c r="S28" i="4" s="1"/>
  <c r="U28" i="4" s="1"/>
  <c r="Q29" i="4" s="1"/>
  <c r="S29" i="4" s="1"/>
  <c r="U29" i="4" s="1"/>
  <c r="Q30" i="4" s="1"/>
  <c r="S30" i="4" s="1"/>
  <c r="U30" i="4" s="1"/>
  <c r="Q31" i="4" s="1"/>
  <c r="S31" i="4" s="1"/>
  <c r="U31" i="4" s="1"/>
  <c r="Q32" i="4" s="1"/>
  <c r="S32" i="4" s="1"/>
  <c r="U32" i="4" s="1"/>
  <c r="Q33" i="4" s="1"/>
  <c r="S33" i="4" s="1"/>
  <c r="U33" i="4" s="1"/>
  <c r="F6" i="1" l="1"/>
  <c r="H6" i="1" s="1"/>
  <c r="D6" i="1"/>
  <c r="I6" i="1"/>
  <c r="K6" i="1" s="1"/>
  <c r="M6" i="1" s="1"/>
  <c r="I7" i="1" s="1"/>
  <c r="K7" i="1" s="1"/>
  <c r="M7" i="1" s="1"/>
  <c r="I8" i="1" s="1"/>
  <c r="K8" i="1" s="1"/>
  <c r="M8" i="1" s="1"/>
  <c r="I9" i="1" s="1"/>
  <c r="K9" i="1" s="1"/>
  <c r="M9" i="1" s="1"/>
  <c r="I10" i="1" s="1"/>
  <c r="D7" i="1" l="1"/>
  <c r="F7" i="1" s="1"/>
  <c r="H7" i="1" s="1"/>
  <c r="K10" i="1"/>
  <c r="M10" i="1" s="1"/>
  <c r="I11" i="1" s="1"/>
  <c r="D8" i="1" l="1"/>
  <c r="F8" i="1" s="1"/>
  <c r="H8" i="1" s="1"/>
  <c r="K11" i="1"/>
  <c r="M11" i="1" s="1"/>
  <c r="I12" i="1" s="1"/>
  <c r="D9" i="1" l="1"/>
  <c r="F9" i="1" s="1"/>
  <c r="H9" i="1" s="1"/>
  <c r="K12" i="1"/>
  <c r="M12" i="1" s="1"/>
  <c r="I13" i="1" s="1"/>
  <c r="D10" i="1" l="1"/>
  <c r="F10" i="1" s="1"/>
  <c r="H10" i="1" s="1"/>
  <c r="D11" i="1" s="1"/>
  <c r="F11" i="1" s="1"/>
  <c r="H11" i="1" s="1"/>
  <c r="D12" i="1" s="1"/>
  <c r="F12" i="1" s="1"/>
  <c r="H12" i="1" s="1"/>
  <c r="D13" i="1" s="1"/>
  <c r="F13" i="1" s="1"/>
  <c r="H13" i="1" s="1"/>
  <c r="D14" i="1" s="1"/>
  <c r="F14" i="1" s="1"/>
  <c r="H14" i="1" s="1"/>
  <c r="D15" i="1" s="1"/>
  <c r="F15" i="1" s="1"/>
  <c r="H15" i="1" s="1"/>
  <c r="D16" i="1" s="1"/>
  <c r="F16" i="1" s="1"/>
  <c r="H16" i="1" s="1"/>
  <c r="D17" i="1" s="1"/>
  <c r="F17" i="1" s="1"/>
  <c r="H17" i="1" s="1"/>
  <c r="D18" i="1" s="1"/>
  <c r="F18" i="1" s="1"/>
  <c r="H18" i="1" s="1"/>
  <c r="D19" i="1" s="1"/>
  <c r="F19" i="1" s="1"/>
  <c r="H19" i="1" s="1"/>
  <c r="D20" i="1" s="1"/>
  <c r="F20" i="1" s="1"/>
  <c r="H20" i="1" s="1"/>
  <c r="D21" i="1" s="1"/>
  <c r="F21" i="1" s="1"/>
  <c r="H21" i="1" s="1"/>
  <c r="D22" i="1" s="1"/>
  <c r="F22" i="1" s="1"/>
  <c r="H22" i="1" s="1"/>
  <c r="D23" i="1" s="1"/>
  <c r="F23" i="1" s="1"/>
  <c r="H23" i="1" s="1"/>
  <c r="D24" i="1" s="1"/>
  <c r="F24" i="1" s="1"/>
  <c r="H24" i="1" s="1"/>
  <c r="D25" i="1" s="1"/>
  <c r="F25" i="1" s="1"/>
  <c r="H25" i="1" s="1"/>
  <c r="D26" i="1" s="1"/>
  <c r="F26" i="1" s="1"/>
  <c r="H26" i="1" s="1"/>
  <c r="D27" i="1" s="1"/>
  <c r="F27" i="1" s="1"/>
  <c r="H27" i="1" s="1"/>
  <c r="D28" i="1" s="1"/>
  <c r="F28" i="1" s="1"/>
  <c r="H28" i="1" s="1"/>
  <c r="D29" i="1" s="1"/>
  <c r="F29" i="1" s="1"/>
  <c r="H29" i="1" s="1"/>
  <c r="D30" i="1" s="1"/>
  <c r="F30" i="1" s="1"/>
  <c r="H30" i="1" s="1"/>
  <c r="D31" i="1" s="1"/>
  <c r="F31" i="1" s="1"/>
  <c r="H31" i="1" s="1"/>
  <c r="D32" i="1" s="1"/>
  <c r="F32" i="1" s="1"/>
  <c r="H32" i="1" s="1"/>
  <c r="D33" i="1" s="1"/>
  <c r="F33" i="1" s="1"/>
  <c r="H33" i="1" s="1"/>
  <c r="K13" i="1"/>
  <c r="M13" i="1" s="1"/>
  <c r="I14" i="1" s="1"/>
  <c r="K14" i="1" l="1"/>
  <c r="M14" i="1" s="1"/>
  <c r="I15" i="1" s="1"/>
  <c r="K15" i="1" l="1"/>
  <c r="M15" i="1" s="1"/>
  <c r="I16" i="1" s="1"/>
  <c r="K16" i="1" l="1"/>
  <c r="M16" i="1" s="1"/>
  <c r="I17" i="1" s="1"/>
  <c r="K17" i="1" l="1"/>
  <c r="M17" i="1" s="1"/>
  <c r="I18" i="1" l="1"/>
  <c r="K18" i="1" s="1"/>
  <c r="M18" i="1" s="1"/>
  <c r="I19" i="1" l="1"/>
  <c r="K19" i="1" s="1"/>
  <c r="M19" i="1" s="1"/>
  <c r="I20" i="1" l="1"/>
  <c r="K20" i="1" s="1"/>
  <c r="M20" i="1" s="1"/>
  <c r="I21" i="1" s="1"/>
  <c r="K21" i="1" s="1"/>
  <c r="M21" i="1" s="1"/>
  <c r="I22" i="1" s="1"/>
  <c r="K22" i="1" s="1"/>
  <c r="M22" i="1" s="1"/>
  <c r="I23" i="1" s="1"/>
  <c r="K23" i="1" s="1"/>
  <c r="M23" i="1" s="1"/>
  <c r="I24" i="1" s="1"/>
  <c r="K24" i="1" s="1"/>
  <c r="M24" i="1" s="1"/>
  <c r="I25" i="1" s="1"/>
  <c r="K25" i="1" s="1"/>
  <c r="M25" i="1" s="1"/>
  <c r="I26" i="1" s="1"/>
  <c r="K26" i="1" s="1"/>
  <c r="M26" i="1" s="1"/>
  <c r="I27" i="1" s="1"/>
  <c r="K27" i="1" s="1"/>
  <c r="M27" i="1" s="1"/>
  <c r="I28" i="1" s="1"/>
  <c r="K28" i="1" s="1"/>
  <c r="M28" i="1" s="1"/>
  <c r="I29" i="1" s="1"/>
  <c r="K29" i="1" s="1"/>
  <c r="M29" i="1" s="1"/>
  <c r="I30" i="1" s="1"/>
  <c r="K30" i="1" s="1"/>
  <c r="M30" i="1" s="1"/>
  <c r="I31" i="1" s="1"/>
  <c r="K31" i="1" s="1"/>
  <c r="M31" i="1" s="1"/>
  <c r="I32" i="1" s="1"/>
  <c r="K32" i="1" s="1"/>
  <c r="M32" i="1" s="1"/>
  <c r="I33" i="1" s="1"/>
  <c r="K33" i="1" s="1"/>
  <c r="M33" i="1" s="1"/>
  <c r="D18" i="3" l="1"/>
  <c r="F18" i="3" s="1"/>
  <c r="H18" i="3" s="1"/>
  <c r="D19" i="3" l="1"/>
  <c r="F19" i="3" s="1"/>
  <c r="H19" i="3" s="1"/>
  <c r="D20" i="3" l="1"/>
  <c r="F20" i="3" s="1"/>
  <c r="H20" i="3" s="1"/>
  <c r="D21" i="3" l="1"/>
  <c r="F21" i="3" s="1"/>
  <c r="H21" i="3" s="1"/>
  <c r="D22" i="3" l="1"/>
  <c r="F22" i="3" s="1"/>
  <c r="H22" i="3" s="1"/>
  <c r="D23" i="3" l="1"/>
  <c r="F23" i="3" s="1"/>
  <c r="H23" i="3" s="1"/>
  <c r="D24" i="3" l="1"/>
  <c r="F24" i="3" s="1"/>
  <c r="H24" i="3" s="1"/>
  <c r="D25" i="3" l="1"/>
  <c r="F25" i="3" s="1"/>
  <c r="H25" i="3" s="1"/>
  <c r="D26" i="3" l="1"/>
  <c r="F26" i="3" s="1"/>
  <c r="H26" i="3" s="1"/>
  <c r="D27" i="3" l="1"/>
  <c r="F27" i="3" s="1"/>
  <c r="H27" i="3" s="1"/>
  <c r="D28" i="3" l="1"/>
  <c r="F28" i="3" s="1"/>
  <c r="H28" i="3" s="1"/>
  <c r="D29" i="3" l="1"/>
  <c r="F29" i="3" s="1"/>
  <c r="H29" i="3" s="1"/>
  <c r="D30" i="3" l="1"/>
  <c r="F30" i="3" s="1"/>
  <c r="H30" i="3" s="1"/>
  <c r="D31" i="3" l="1"/>
  <c r="F31" i="3" s="1"/>
  <c r="H31" i="3" s="1"/>
  <c r="D32" i="3" l="1"/>
  <c r="F32" i="3" s="1"/>
  <c r="H32" i="3" s="1"/>
  <c r="D33" i="3" l="1"/>
  <c r="F33" i="3" s="1"/>
  <c r="H33" i="3" s="1"/>
</calcChain>
</file>

<file path=xl/sharedStrings.xml><?xml version="1.0" encoding="utf-8"?>
<sst xmlns="http://schemas.openxmlformats.org/spreadsheetml/2006/main" count="269" uniqueCount="56">
  <si>
    <t>Date</t>
  </si>
  <si>
    <t>total</t>
  </si>
  <si>
    <t>Intial Bal</t>
  </si>
  <si>
    <t>Total</t>
  </si>
  <si>
    <t>Expendeture</t>
  </si>
  <si>
    <t>Balance</t>
  </si>
  <si>
    <t>Week</t>
  </si>
  <si>
    <t>Count</t>
  </si>
  <si>
    <t>Rice (150)</t>
  </si>
  <si>
    <t>Friday</t>
  </si>
  <si>
    <t>Supply</t>
  </si>
  <si>
    <t>Dal (30)</t>
  </si>
  <si>
    <t>Saturday</t>
  </si>
  <si>
    <t>Sunday</t>
  </si>
  <si>
    <t>Monday</t>
  </si>
  <si>
    <t>Tuesday</t>
  </si>
  <si>
    <t>Wednesday</t>
  </si>
  <si>
    <t>Thursday</t>
  </si>
  <si>
    <t>8th</t>
  </si>
  <si>
    <t>Egg</t>
  </si>
  <si>
    <t>9th</t>
  </si>
  <si>
    <t>10th</t>
  </si>
  <si>
    <t>Grand Total</t>
  </si>
  <si>
    <t>monday</t>
  </si>
  <si>
    <t>tuesday</t>
  </si>
  <si>
    <t>Opening Bal</t>
  </si>
  <si>
    <t>opening Bal</t>
  </si>
  <si>
    <t>opening bal Bal</t>
  </si>
  <si>
    <t>opening balBal</t>
  </si>
  <si>
    <t>Sugar contengency (0.44)</t>
  </si>
  <si>
    <t>Wheat (150)</t>
  </si>
  <si>
    <t>Egg Cont(6)</t>
  </si>
  <si>
    <t>Malt Powder (5)</t>
  </si>
  <si>
    <t>10th Head Count</t>
  </si>
  <si>
    <t>8th Head Count</t>
  </si>
  <si>
    <t>9th Head Count</t>
  </si>
  <si>
    <t>8,9,10 total children</t>
  </si>
  <si>
    <t>saturday</t>
  </si>
  <si>
    <t>sunday</t>
  </si>
  <si>
    <t>wednesday</t>
  </si>
  <si>
    <t>thursday</t>
  </si>
  <si>
    <t>friday</t>
  </si>
  <si>
    <t>Oil (6.500)</t>
  </si>
  <si>
    <t>Milk  (18GM/Person)</t>
  </si>
  <si>
    <t>Egg/banana (0.44)</t>
  </si>
  <si>
    <t>banana</t>
  </si>
  <si>
    <t>banana cont (5.7)</t>
  </si>
  <si>
    <t>9th and 10th contengency (3.55)</t>
  </si>
  <si>
    <t>8th contengency (3.55)</t>
  </si>
  <si>
    <t>TUESDAY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</si>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</sst>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5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4" xfId="0" applyFont="1" applyFill="1" applyBorder="1" applyAlignment="1">
      <alignment horizontal="center"/>
    </xf>
    <xf numFmtId="0" fontId="0" fillId="11" borderId="1" xfId="0" applyFill="1" applyBorder="1"/>
    <xf numFmtId="0" fontId="1" fillId="11" borderId="1" xfId="0" applyFont="1" applyFill="1" applyBorder="1"/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5" xfId="0" applyFill="1" applyBorder="1" applyAlignment="1">
      <alignment horizontal="center" wrapText="1"/>
    </xf>
    <xf numFmtId="0" fontId="0" fillId="11" borderId="6" xfId="0" applyFill="1" applyBorder="1" applyAlignment="1">
      <alignment horizontal="center" wrapText="1"/>
    </xf>
    <xf numFmtId="0" fontId="1" fillId="11" borderId="5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opLeftCell="B1" zoomScale="130" zoomScaleNormal="130" workbookViewId="0">
      <selection activeCell="Q3" sqref="Q3:Q35"/>
    </sheetView>
  </sheetViews>
  <sheetFormatPr defaultColWidth="8.88671875" defaultRowHeight="14.4" x14ac:dyDescent="0.3"/>
  <cols>
    <col min="1" max="1" width="10.33203125" style="1" customWidth="1"/>
    <col min="2" max="2" width="10.44140625" style="1" bestFit="1" customWidth="1"/>
    <col min="3" max="3" width="5.88671875" style="7" bestFit="1" customWidth="1"/>
    <col min="4" max="4" width="8.109375" style="2" bestFit="1" customWidth="1"/>
    <col min="5" max="5" width="6.33203125" style="2" bestFit="1" customWidth="1"/>
    <col min="6" max="6" width="6.6640625" style="2" bestFit="1" customWidth="1"/>
    <col min="7" max="7" width="11.33203125" style="2" bestFit="1" customWidth="1"/>
    <col min="8" max="8" width="7.44140625" style="2" bestFit="1" customWidth="1"/>
    <col min="9" max="9" width="8.109375" style="3" bestFit="1" customWidth="1"/>
    <col min="10" max="10" width="6.33203125" style="3" bestFit="1" customWidth="1"/>
    <col min="11" max="11" width="5.33203125" style="3" bestFit="1" customWidth="1"/>
    <col min="12" max="12" width="11.33203125" style="3" bestFit="1" customWidth="1"/>
    <col min="13" max="13" width="7.44140625" style="3" bestFit="1" customWidth="1"/>
    <col min="14" max="14" width="8.109375" style="4" customWidth="1"/>
    <col min="15" max="15" width="6.33203125" style="4" bestFit="1" customWidth="1"/>
    <col min="16" max="16" width="5.33203125" style="4" bestFit="1" customWidth="1"/>
    <col min="17" max="17" width="11.33203125" style="4" bestFit="1" customWidth="1"/>
    <col min="18" max="18" width="7.44140625" style="4" bestFit="1" customWidth="1"/>
    <col min="19" max="19" width="8.109375" style="8" bestFit="1" customWidth="1"/>
    <col min="20" max="20" width="6.33203125" style="8" bestFit="1" customWidth="1"/>
    <col min="21" max="21" width="5.33203125" style="8" bestFit="1" customWidth="1"/>
    <col min="22" max="22" width="11.33203125" style="8" bestFit="1" customWidth="1"/>
    <col min="23" max="23" width="8" style="8" bestFit="1" customWidth="1"/>
    <col min="24" max="16384" width="8.88671875" style="1"/>
  </cols>
  <sheetData>
    <row r="1" spans="1:23" x14ac:dyDescent="0.3">
      <c r="A1" s="18" t="s">
        <v>0</v>
      </c>
      <c r="B1" s="18" t="s">
        <v>6</v>
      </c>
      <c r="C1" s="18" t="s">
        <v>7</v>
      </c>
      <c r="D1" s="29" t="s">
        <v>8</v>
      </c>
      <c r="E1" s="29"/>
      <c r="F1" s="29"/>
      <c r="G1" s="29"/>
      <c r="H1" s="29"/>
      <c r="I1" s="30" t="s">
        <v>11</v>
      </c>
      <c r="J1" s="30"/>
      <c r="K1" s="30"/>
      <c r="L1" s="30"/>
      <c r="M1" s="30"/>
      <c r="N1" s="27" t="s">
        <v>42</v>
      </c>
      <c r="O1" s="27"/>
      <c r="P1" s="27"/>
      <c r="Q1" s="27"/>
      <c r="R1" s="27"/>
      <c r="S1" s="28" t="s">
        <v>30</v>
      </c>
      <c r="T1" s="28"/>
      <c r="U1" s="28"/>
      <c r="V1" s="28"/>
      <c r="W1" s="28"/>
    </row>
    <row r="2" spans="1:23" x14ac:dyDescent="0.3">
      <c r="A2" s="18"/>
      <c r="B2" s="18"/>
      <c r="C2" s="18"/>
      <c r="D2" s="2" t="s">
        <v>26</v>
      </c>
      <c r="E2" s="2" t="s">
        <v>10</v>
      </c>
      <c r="F2" s="2" t="s">
        <v>3</v>
      </c>
      <c r="G2" s="2" t="s">
        <v>4</v>
      </c>
      <c r="H2" s="2" t="s">
        <v>5</v>
      </c>
      <c r="I2" s="3" t="s">
        <v>27</v>
      </c>
      <c r="J2" s="3" t="s">
        <v>10</v>
      </c>
      <c r="K2" s="3" t="s">
        <v>3</v>
      </c>
      <c r="L2" s="3" t="s">
        <v>4</v>
      </c>
      <c r="M2" s="3" t="s">
        <v>5</v>
      </c>
      <c r="N2" s="4" t="s">
        <v>28</v>
      </c>
      <c r="O2" s="4" t="s">
        <v>10</v>
      </c>
      <c r="P2" s="4" t="s">
        <v>3</v>
      </c>
      <c r="Q2" s="4" t="s">
        <v>4</v>
      </c>
      <c r="R2" s="4" t="s">
        <v>5</v>
      </c>
      <c r="S2" s="5" t="s">
        <v>26</v>
      </c>
      <c r="T2" s="5" t="s">
        <v>10</v>
      </c>
      <c r="U2" s="5" t="s">
        <v>3</v>
      </c>
      <c r="V2" s="5" t="s">
        <v>4</v>
      </c>
      <c r="W2" s="5" t="s">
        <v>5</v>
      </c>
    </row>
    <row r="3" spans="1:23" x14ac:dyDescent="0.3">
      <c r="A3" s="6">
        <v>45778</v>
      </c>
      <c r="B3" s="7" t="s">
        <v>12</v>
      </c>
      <c r="C3" s="7">
        <v>20</v>
      </c>
      <c r="D3" s="2">
        <v>477.75</v>
      </c>
      <c r="E3" s="2">
        <v>0</v>
      </c>
      <c r="F3" s="2">
        <f>SUM(D3,E3)</f>
        <v>477.75</v>
      </c>
      <c r="H3" s="2">
        <f>(F3-G3)</f>
        <v>477.75</v>
      </c>
      <c r="I3" s="3">
        <v>44.85</v>
      </c>
      <c r="J3" s="3">
        <v>0</v>
      </c>
      <c r="K3" s="3">
        <f>SUM(I3,J3)</f>
        <v>44.85</v>
      </c>
      <c r="M3" s="3">
        <f>(K3-L3)</f>
        <v>44.85</v>
      </c>
      <c r="N3" s="4">
        <v>4.7850000000000001</v>
      </c>
      <c r="O3" s="4">
        <v>0</v>
      </c>
      <c r="P3" s="4">
        <f>SUM(N3,O3)</f>
        <v>4.7850000000000001</v>
      </c>
      <c r="Q3" s="4">
        <f>PRODUCT(C3 * 6.5)/1000</f>
        <v>0.13</v>
      </c>
      <c r="R3" s="4">
        <f>(P3-Q3)</f>
        <v>4.6550000000000002</v>
      </c>
      <c r="S3" s="8">
        <v>52.3</v>
      </c>
      <c r="T3" s="8">
        <v>0</v>
      </c>
      <c r="U3" s="8">
        <f>SUM(S3,T3)</f>
        <v>52.3</v>
      </c>
      <c r="V3" s="8">
        <f>PRODUCT(C3 * 150)/1000</f>
        <v>3</v>
      </c>
      <c r="W3" s="8">
        <f>(U3-V3)</f>
        <v>49.3</v>
      </c>
    </row>
    <row r="4" spans="1:23" x14ac:dyDescent="0.3">
      <c r="A4" s="6">
        <v>45779</v>
      </c>
      <c r="B4" s="7" t="s">
        <v>13</v>
      </c>
      <c r="C4" s="7">
        <v>0</v>
      </c>
      <c r="D4" s="2">
        <f>IF(ISNUMBER(VALUE(H3)),H3,0)</f>
        <v>477.75</v>
      </c>
      <c r="E4" s="2">
        <v>0</v>
      </c>
      <c r="F4" s="2">
        <f t="shared" ref="F4:F33" si="0">SUM(D4,E4)</f>
        <v>477.75</v>
      </c>
      <c r="G4" s="2">
        <f t="shared" ref="G4:G33" si="1">PRODUCT(C4 * 150)/1000</f>
        <v>0</v>
      </c>
      <c r="H4" s="2">
        <f t="shared" ref="H4:H33" si="2">(F4-G4)</f>
        <v>477.75</v>
      </c>
      <c r="I4" s="3">
        <f>IF(ISNUMBER(VALUE(M3)),M3,0)</f>
        <v>44.85</v>
      </c>
      <c r="K4" s="3">
        <f t="shared" ref="K4:K33" si="3">SUM(I4,J4)</f>
        <v>44.85</v>
      </c>
      <c r="L4" s="3">
        <f t="shared" ref="L4:L33" si="4">PRODUCT(C4 * 30)/1000</f>
        <v>0</v>
      </c>
      <c r="M4" s="3">
        <f t="shared" ref="M4:M33" si="5">(K4-L4)</f>
        <v>44.85</v>
      </c>
      <c r="N4" s="4">
        <f>IF(ISNUMBER(VALUE(R3)),R3,0)</f>
        <v>4.6550000000000002</v>
      </c>
      <c r="O4" s="4">
        <v>0</v>
      </c>
      <c r="P4" s="4">
        <f t="shared" ref="P4:P33" si="6">SUM(N4,O4)</f>
        <v>4.6550000000000002</v>
      </c>
      <c r="Q4" s="4">
        <f t="shared" ref="Q4:Q35" si="7">PRODUCT(C4 * 6.5)/1000</f>
        <v>0</v>
      </c>
      <c r="R4" s="4">
        <f t="shared" ref="R4:R33" si="8">(P4-Q4)</f>
        <v>4.6550000000000002</v>
      </c>
      <c r="S4" s="8">
        <f>IF(ISNUMBER(VALUE(W3)),W3,0)</f>
        <v>49.3</v>
      </c>
      <c r="T4" s="8">
        <v>0</v>
      </c>
      <c r="U4" s="8">
        <f t="shared" ref="U4:U32" si="9">SUM(S4,T4)</f>
        <v>49.3</v>
      </c>
      <c r="V4" s="8">
        <f t="shared" ref="V4:V33" si="10">PRODUCT(C4 * 150)/1000</f>
        <v>0</v>
      </c>
      <c r="W4" s="8">
        <f t="shared" ref="W4:W33" si="11">(U4-V4)</f>
        <v>49.3</v>
      </c>
    </row>
    <row r="5" spans="1:23" x14ac:dyDescent="0.3">
      <c r="A5" s="6">
        <v>45780</v>
      </c>
      <c r="B5" s="7" t="s">
        <v>14</v>
      </c>
      <c r="C5" s="7">
        <v>22</v>
      </c>
      <c r="D5" s="2">
        <f t="shared" ref="D5:D33" si="12">IF(ISNUMBER(VALUE(H4)),H4,0)</f>
        <v>477.75</v>
      </c>
      <c r="F5" s="2">
        <f t="shared" si="0"/>
        <v>477.75</v>
      </c>
      <c r="G5" s="2">
        <f t="shared" si="1"/>
        <v>3.3</v>
      </c>
      <c r="H5" s="2">
        <f t="shared" si="2"/>
        <v>474.45</v>
      </c>
      <c r="I5" s="3">
        <f>IF(ISNUMBER(VALUE(M4)),M4,0)</f>
        <v>44.85</v>
      </c>
      <c r="K5" s="3">
        <f t="shared" si="3"/>
        <v>44.85</v>
      </c>
      <c r="L5" s="3">
        <f t="shared" si="4"/>
        <v>0.66</v>
      </c>
      <c r="M5" s="3">
        <f t="shared" si="5"/>
        <v>44.190000000000005</v>
      </c>
      <c r="N5" s="4">
        <f t="shared" ref="N5:N33" si="13">IF(ISNUMBER(VALUE(R4)),R4,0)</f>
        <v>4.6550000000000002</v>
      </c>
      <c r="O5" s="4">
        <v>0</v>
      </c>
      <c r="P5" s="4">
        <f t="shared" si="6"/>
        <v>4.6550000000000002</v>
      </c>
      <c r="Q5" s="4">
        <f t="shared" si="7"/>
        <v>0.14299999999999999</v>
      </c>
      <c r="R5" s="4">
        <f t="shared" si="8"/>
        <v>4.5120000000000005</v>
      </c>
      <c r="S5" s="8">
        <f t="shared" ref="S5:S33" si="14">IF(ISNUMBER(VALUE(W4)),W4,0)</f>
        <v>49.3</v>
      </c>
      <c r="T5" s="8">
        <v>0</v>
      </c>
      <c r="U5" s="8">
        <f t="shared" si="9"/>
        <v>49.3</v>
      </c>
      <c r="V5" s="8">
        <v>0</v>
      </c>
      <c r="W5" s="8">
        <f t="shared" si="11"/>
        <v>49.3</v>
      </c>
    </row>
    <row r="6" spans="1:23" x14ac:dyDescent="0.3">
      <c r="A6" s="6">
        <v>45781</v>
      </c>
      <c r="B6" s="7" t="s">
        <v>15</v>
      </c>
      <c r="C6" s="7">
        <v>23</v>
      </c>
      <c r="D6" s="2">
        <f t="shared" si="12"/>
        <v>474.45</v>
      </c>
      <c r="F6" s="2">
        <f t="shared" si="0"/>
        <v>474.45</v>
      </c>
      <c r="G6" s="2">
        <f t="shared" si="1"/>
        <v>3.45</v>
      </c>
      <c r="H6" s="2">
        <f t="shared" si="2"/>
        <v>471</v>
      </c>
      <c r="I6" s="3">
        <f t="shared" ref="I6:I33" si="15">IF(ISNUMBER(VALUE(M5)),M5,0)</f>
        <v>44.190000000000005</v>
      </c>
      <c r="K6" s="3">
        <f t="shared" si="3"/>
        <v>44.190000000000005</v>
      </c>
      <c r="L6" s="3">
        <f t="shared" si="4"/>
        <v>0.69</v>
      </c>
      <c r="M6" s="3">
        <f t="shared" si="5"/>
        <v>43.500000000000007</v>
      </c>
      <c r="N6" s="4">
        <f t="shared" si="13"/>
        <v>4.5120000000000005</v>
      </c>
      <c r="O6" s="4">
        <v>0</v>
      </c>
      <c r="P6" s="4">
        <f t="shared" si="6"/>
        <v>4.5120000000000005</v>
      </c>
      <c r="Q6" s="4">
        <f t="shared" si="7"/>
        <v>0.14949999999999999</v>
      </c>
      <c r="R6" s="4">
        <f t="shared" si="8"/>
        <v>4.3625000000000007</v>
      </c>
      <c r="S6" s="8">
        <f t="shared" si="14"/>
        <v>49.3</v>
      </c>
      <c r="T6" s="8">
        <v>0</v>
      </c>
      <c r="U6" s="8">
        <f t="shared" si="9"/>
        <v>49.3</v>
      </c>
      <c r="V6" s="8">
        <v>0</v>
      </c>
      <c r="W6" s="8">
        <f t="shared" si="11"/>
        <v>49.3</v>
      </c>
    </row>
    <row r="7" spans="1:23" x14ac:dyDescent="0.3">
      <c r="A7" s="6">
        <v>45782</v>
      </c>
      <c r="B7" s="7" t="s">
        <v>16</v>
      </c>
      <c r="C7" s="7">
        <v>23</v>
      </c>
      <c r="D7" s="2">
        <f t="shared" si="12"/>
        <v>471</v>
      </c>
      <c r="F7" s="2">
        <f t="shared" si="0"/>
        <v>471</v>
      </c>
      <c r="G7" s="2">
        <f t="shared" si="1"/>
        <v>3.45</v>
      </c>
      <c r="H7" s="2">
        <f t="shared" si="2"/>
        <v>467.55</v>
      </c>
      <c r="I7" s="3">
        <f t="shared" si="15"/>
        <v>43.500000000000007</v>
      </c>
      <c r="K7" s="3">
        <f t="shared" si="3"/>
        <v>43.500000000000007</v>
      </c>
      <c r="L7" s="3">
        <f t="shared" si="4"/>
        <v>0.69</v>
      </c>
      <c r="M7" s="3">
        <f t="shared" si="5"/>
        <v>42.810000000000009</v>
      </c>
      <c r="N7" s="4">
        <f t="shared" si="13"/>
        <v>4.3625000000000007</v>
      </c>
      <c r="O7" s="4">
        <v>0</v>
      </c>
      <c r="P7" s="4">
        <f t="shared" si="6"/>
        <v>4.3625000000000007</v>
      </c>
      <c r="Q7" s="4">
        <f t="shared" si="7"/>
        <v>0.14949999999999999</v>
      </c>
      <c r="R7" s="4">
        <f t="shared" si="8"/>
        <v>4.213000000000001</v>
      </c>
      <c r="S7" s="8">
        <f t="shared" si="14"/>
        <v>49.3</v>
      </c>
      <c r="T7" s="8">
        <v>0</v>
      </c>
      <c r="U7" s="8">
        <f t="shared" si="9"/>
        <v>49.3</v>
      </c>
      <c r="V7" s="8">
        <f t="shared" si="10"/>
        <v>3.45</v>
      </c>
      <c r="W7" s="8">
        <f t="shared" si="11"/>
        <v>45.849999999999994</v>
      </c>
    </row>
    <row r="8" spans="1:23" x14ac:dyDescent="0.3">
      <c r="A8" s="6">
        <v>45783</v>
      </c>
      <c r="B8" s="7" t="s">
        <v>17</v>
      </c>
      <c r="C8" s="7">
        <v>23</v>
      </c>
      <c r="D8" s="2">
        <f t="shared" si="12"/>
        <v>467.55</v>
      </c>
      <c r="F8" s="2">
        <f t="shared" si="0"/>
        <v>467.55</v>
      </c>
      <c r="G8" s="2">
        <f t="shared" si="1"/>
        <v>3.45</v>
      </c>
      <c r="H8" s="2">
        <f t="shared" si="2"/>
        <v>464.1</v>
      </c>
      <c r="I8" s="3">
        <f t="shared" si="15"/>
        <v>42.810000000000009</v>
      </c>
      <c r="K8" s="3">
        <f t="shared" si="3"/>
        <v>42.810000000000009</v>
      </c>
      <c r="L8" s="3">
        <f t="shared" si="4"/>
        <v>0.69</v>
      </c>
      <c r="M8" s="3">
        <f t="shared" si="5"/>
        <v>42.120000000000012</v>
      </c>
      <c r="N8" s="4">
        <f t="shared" si="13"/>
        <v>4.213000000000001</v>
      </c>
      <c r="O8" s="4">
        <v>0</v>
      </c>
      <c r="P8" s="4">
        <f t="shared" si="6"/>
        <v>4.213000000000001</v>
      </c>
      <c r="Q8" s="4">
        <f t="shared" si="7"/>
        <v>0.14949999999999999</v>
      </c>
      <c r="R8" s="4">
        <f t="shared" si="8"/>
        <v>4.0635000000000012</v>
      </c>
      <c r="S8" s="8">
        <f t="shared" si="14"/>
        <v>45.849999999999994</v>
      </c>
      <c r="T8" s="8">
        <v>0</v>
      </c>
      <c r="U8" s="8">
        <f t="shared" si="9"/>
        <v>45.849999999999994</v>
      </c>
      <c r="V8" s="8">
        <f t="shared" si="10"/>
        <v>3.45</v>
      </c>
      <c r="W8" s="8">
        <f t="shared" si="11"/>
        <v>42.399999999999991</v>
      </c>
    </row>
    <row r="9" spans="1:23" x14ac:dyDescent="0.3">
      <c r="A9" s="6">
        <v>45784</v>
      </c>
      <c r="B9" s="7" t="s">
        <v>9</v>
      </c>
      <c r="C9" s="7">
        <v>22</v>
      </c>
      <c r="D9" s="2">
        <f t="shared" si="12"/>
        <v>464.1</v>
      </c>
      <c r="F9" s="2">
        <f t="shared" si="0"/>
        <v>464.1</v>
      </c>
      <c r="G9" s="2">
        <f t="shared" si="1"/>
        <v>3.3</v>
      </c>
      <c r="H9" s="2">
        <f t="shared" si="2"/>
        <v>460.8</v>
      </c>
      <c r="I9" s="3">
        <f t="shared" si="15"/>
        <v>42.120000000000012</v>
      </c>
      <c r="K9" s="3">
        <f t="shared" si="3"/>
        <v>42.120000000000012</v>
      </c>
      <c r="L9" s="3">
        <f t="shared" si="4"/>
        <v>0.66</v>
      </c>
      <c r="M9" s="3">
        <f t="shared" si="5"/>
        <v>41.460000000000015</v>
      </c>
      <c r="N9" s="4">
        <f t="shared" si="13"/>
        <v>4.0635000000000012</v>
      </c>
      <c r="O9" s="4">
        <v>0</v>
      </c>
      <c r="P9" s="4">
        <f t="shared" si="6"/>
        <v>4.0635000000000012</v>
      </c>
      <c r="Q9" s="4">
        <f t="shared" si="7"/>
        <v>0.14299999999999999</v>
      </c>
      <c r="R9" s="4">
        <f t="shared" si="8"/>
        <v>3.9205000000000014</v>
      </c>
      <c r="S9" s="8">
        <f t="shared" si="14"/>
        <v>42.399999999999991</v>
      </c>
      <c r="T9" s="8">
        <v>0</v>
      </c>
      <c r="U9" s="8">
        <f t="shared" si="9"/>
        <v>42.399999999999991</v>
      </c>
      <c r="V9" s="8">
        <f t="shared" si="10"/>
        <v>3.3</v>
      </c>
      <c r="W9" s="8">
        <f t="shared" si="11"/>
        <v>39.099999999999994</v>
      </c>
    </row>
    <row r="10" spans="1:23" x14ac:dyDescent="0.3">
      <c r="A10" s="6">
        <v>45785</v>
      </c>
      <c r="B10" s="7" t="s">
        <v>12</v>
      </c>
      <c r="D10" s="2">
        <f t="shared" si="12"/>
        <v>460.8</v>
      </c>
      <c r="F10" s="2">
        <f t="shared" si="0"/>
        <v>460.8</v>
      </c>
      <c r="G10" s="2">
        <f t="shared" si="1"/>
        <v>0</v>
      </c>
      <c r="H10" s="2">
        <f t="shared" si="2"/>
        <v>460.8</v>
      </c>
      <c r="I10" s="3">
        <f t="shared" si="15"/>
        <v>41.460000000000015</v>
      </c>
      <c r="K10" s="3">
        <f t="shared" si="3"/>
        <v>41.460000000000015</v>
      </c>
      <c r="L10" s="3">
        <f t="shared" si="4"/>
        <v>0</v>
      </c>
      <c r="M10" s="3">
        <f t="shared" si="5"/>
        <v>41.460000000000015</v>
      </c>
      <c r="N10" s="4">
        <f t="shared" si="13"/>
        <v>3.9205000000000014</v>
      </c>
      <c r="O10" s="4">
        <v>0</v>
      </c>
      <c r="P10" s="4">
        <f t="shared" si="6"/>
        <v>3.9205000000000014</v>
      </c>
      <c r="Q10" s="4">
        <f t="shared" si="7"/>
        <v>0</v>
      </c>
      <c r="R10" s="4">
        <f t="shared" si="8"/>
        <v>3.9205000000000014</v>
      </c>
      <c r="S10" s="8">
        <f t="shared" si="14"/>
        <v>39.099999999999994</v>
      </c>
      <c r="T10" s="8">
        <v>0</v>
      </c>
      <c r="U10" s="8">
        <f t="shared" si="9"/>
        <v>39.099999999999994</v>
      </c>
      <c r="V10" s="8">
        <f t="shared" si="10"/>
        <v>0</v>
      </c>
      <c r="W10" s="8">
        <f t="shared" si="11"/>
        <v>39.099999999999994</v>
      </c>
    </row>
    <row r="11" spans="1:23" x14ac:dyDescent="0.3">
      <c r="A11" s="6">
        <v>45786</v>
      </c>
      <c r="B11" s="7" t="s">
        <v>13</v>
      </c>
      <c r="D11" s="2">
        <f t="shared" si="12"/>
        <v>460.8</v>
      </c>
      <c r="F11" s="2">
        <f t="shared" si="0"/>
        <v>460.8</v>
      </c>
      <c r="G11" s="2">
        <f t="shared" si="1"/>
        <v>0</v>
      </c>
      <c r="H11" s="2">
        <f t="shared" si="2"/>
        <v>460.8</v>
      </c>
      <c r="I11" s="3">
        <f t="shared" si="15"/>
        <v>41.460000000000015</v>
      </c>
      <c r="K11" s="3">
        <f t="shared" si="3"/>
        <v>41.460000000000015</v>
      </c>
      <c r="L11" s="3">
        <f t="shared" si="4"/>
        <v>0</v>
      </c>
      <c r="M11" s="3">
        <f t="shared" si="5"/>
        <v>41.460000000000015</v>
      </c>
      <c r="N11" s="4">
        <f t="shared" si="13"/>
        <v>3.9205000000000014</v>
      </c>
      <c r="O11" s="4">
        <v>0</v>
      </c>
      <c r="P11" s="4">
        <f t="shared" si="6"/>
        <v>3.9205000000000014</v>
      </c>
      <c r="Q11" s="4">
        <f t="shared" si="7"/>
        <v>0</v>
      </c>
      <c r="R11" s="4">
        <f t="shared" si="8"/>
        <v>3.9205000000000014</v>
      </c>
      <c r="S11" s="8">
        <f t="shared" si="14"/>
        <v>39.099999999999994</v>
      </c>
      <c r="T11" s="8">
        <v>0</v>
      </c>
      <c r="U11" s="8">
        <f t="shared" si="9"/>
        <v>39.099999999999994</v>
      </c>
      <c r="V11" s="8">
        <f t="shared" si="10"/>
        <v>0</v>
      </c>
      <c r="W11" s="8">
        <f t="shared" si="11"/>
        <v>39.099999999999994</v>
      </c>
    </row>
    <row r="12" spans="1:23" x14ac:dyDescent="0.3">
      <c r="A12" s="6">
        <v>45787</v>
      </c>
      <c r="B12" s="7" t="s">
        <v>14</v>
      </c>
      <c r="D12" s="2">
        <f t="shared" si="12"/>
        <v>460.8</v>
      </c>
      <c r="F12" s="2">
        <f t="shared" si="0"/>
        <v>460.8</v>
      </c>
      <c r="G12" s="2">
        <f t="shared" si="1"/>
        <v>0</v>
      </c>
      <c r="H12" s="2">
        <f t="shared" si="2"/>
        <v>460.8</v>
      </c>
      <c r="I12" s="3">
        <f>IF(ISNUMBER(VALUE(M11)),M11,0)</f>
        <v>41.460000000000015</v>
      </c>
      <c r="K12" s="3">
        <f t="shared" si="3"/>
        <v>41.460000000000015</v>
      </c>
      <c r="L12" s="3">
        <f t="shared" si="4"/>
        <v>0</v>
      </c>
      <c r="M12" s="3">
        <f t="shared" si="5"/>
        <v>41.460000000000015</v>
      </c>
      <c r="N12" s="4">
        <f t="shared" si="13"/>
        <v>3.9205000000000014</v>
      </c>
      <c r="O12" s="4">
        <v>0</v>
      </c>
      <c r="P12" s="4">
        <f t="shared" si="6"/>
        <v>3.9205000000000014</v>
      </c>
      <c r="Q12" s="4">
        <f t="shared" si="7"/>
        <v>0</v>
      </c>
      <c r="R12" s="4">
        <f t="shared" si="8"/>
        <v>3.9205000000000014</v>
      </c>
      <c r="S12" s="8">
        <f t="shared" si="14"/>
        <v>39.099999999999994</v>
      </c>
      <c r="T12" s="8">
        <v>0</v>
      </c>
      <c r="U12" s="8">
        <f t="shared" si="9"/>
        <v>39.099999999999994</v>
      </c>
      <c r="V12" s="8">
        <f t="shared" si="10"/>
        <v>0</v>
      </c>
      <c r="W12" s="8">
        <f t="shared" si="11"/>
        <v>39.099999999999994</v>
      </c>
    </row>
    <row r="13" spans="1:23" x14ac:dyDescent="0.3">
      <c r="A13" s="6">
        <v>45788</v>
      </c>
      <c r="B13" s="7" t="s">
        <v>15</v>
      </c>
      <c r="D13" s="2">
        <f t="shared" si="12"/>
        <v>460.8</v>
      </c>
      <c r="F13" s="2">
        <f t="shared" si="0"/>
        <v>460.8</v>
      </c>
      <c r="G13" s="2">
        <f t="shared" si="1"/>
        <v>0</v>
      </c>
      <c r="H13" s="2">
        <f t="shared" si="2"/>
        <v>460.8</v>
      </c>
      <c r="I13" s="3">
        <f>IF(ISNUMBER(VALUE(M12)),M12,0)</f>
        <v>41.460000000000015</v>
      </c>
      <c r="K13" s="3">
        <f t="shared" si="3"/>
        <v>41.460000000000015</v>
      </c>
      <c r="L13" s="3">
        <f t="shared" si="4"/>
        <v>0</v>
      </c>
      <c r="M13" s="3">
        <f t="shared" si="5"/>
        <v>41.460000000000015</v>
      </c>
      <c r="N13" s="4">
        <f t="shared" si="13"/>
        <v>3.9205000000000014</v>
      </c>
      <c r="O13" s="4">
        <v>0</v>
      </c>
      <c r="P13" s="4">
        <f t="shared" si="6"/>
        <v>3.9205000000000014</v>
      </c>
      <c r="Q13" s="4">
        <f t="shared" si="7"/>
        <v>0</v>
      </c>
      <c r="R13" s="4">
        <f t="shared" si="8"/>
        <v>3.9205000000000014</v>
      </c>
      <c r="S13" s="8">
        <f t="shared" si="14"/>
        <v>39.099999999999994</v>
      </c>
      <c r="T13" s="8">
        <v>0</v>
      </c>
      <c r="U13" s="8">
        <f t="shared" si="9"/>
        <v>39.099999999999994</v>
      </c>
      <c r="V13" s="8">
        <f t="shared" si="10"/>
        <v>0</v>
      </c>
      <c r="W13" s="8">
        <f t="shared" si="11"/>
        <v>39.099999999999994</v>
      </c>
    </row>
    <row r="14" spans="1:23" x14ac:dyDescent="0.3">
      <c r="A14" s="6">
        <v>45789</v>
      </c>
      <c r="B14" s="7" t="s">
        <v>16</v>
      </c>
      <c r="D14" s="2">
        <f t="shared" si="12"/>
        <v>460.8</v>
      </c>
      <c r="F14" s="2">
        <f t="shared" si="0"/>
        <v>460.8</v>
      </c>
      <c r="G14" s="2">
        <f t="shared" si="1"/>
        <v>0</v>
      </c>
      <c r="H14" s="2">
        <f t="shared" si="2"/>
        <v>460.8</v>
      </c>
      <c r="I14" s="3">
        <f t="shared" si="15"/>
        <v>41.460000000000015</v>
      </c>
      <c r="K14" s="3">
        <f t="shared" si="3"/>
        <v>41.460000000000015</v>
      </c>
      <c r="L14" s="3">
        <f t="shared" si="4"/>
        <v>0</v>
      </c>
      <c r="M14" s="3">
        <f t="shared" si="5"/>
        <v>41.460000000000015</v>
      </c>
      <c r="N14" s="4">
        <f t="shared" si="13"/>
        <v>3.9205000000000014</v>
      </c>
      <c r="O14" s="4">
        <v>0</v>
      </c>
      <c r="P14" s="4">
        <f t="shared" si="6"/>
        <v>3.9205000000000014</v>
      </c>
      <c r="Q14" s="4">
        <f t="shared" si="7"/>
        <v>0</v>
      </c>
      <c r="R14" s="4">
        <f t="shared" si="8"/>
        <v>3.9205000000000014</v>
      </c>
      <c r="S14" s="8">
        <f t="shared" si="14"/>
        <v>39.099999999999994</v>
      </c>
      <c r="T14" s="8">
        <v>0</v>
      </c>
      <c r="U14" s="8">
        <f t="shared" si="9"/>
        <v>39.099999999999994</v>
      </c>
      <c r="V14" s="8">
        <f t="shared" si="10"/>
        <v>0</v>
      </c>
      <c r="W14" s="8">
        <f t="shared" si="11"/>
        <v>39.099999999999994</v>
      </c>
    </row>
    <row r="15" spans="1:23" x14ac:dyDescent="0.3">
      <c r="A15" s="6">
        <v>45790</v>
      </c>
      <c r="B15" s="7" t="s">
        <v>17</v>
      </c>
      <c r="D15" s="2">
        <f t="shared" si="12"/>
        <v>460.8</v>
      </c>
      <c r="F15" s="2">
        <f t="shared" si="0"/>
        <v>460.8</v>
      </c>
      <c r="G15" s="2">
        <f t="shared" si="1"/>
        <v>0</v>
      </c>
      <c r="H15" s="2">
        <f t="shared" si="2"/>
        <v>460.8</v>
      </c>
      <c r="I15" s="3">
        <f t="shared" si="15"/>
        <v>41.460000000000015</v>
      </c>
      <c r="K15" s="3">
        <f t="shared" si="3"/>
        <v>41.460000000000015</v>
      </c>
      <c r="L15" s="3">
        <f t="shared" si="4"/>
        <v>0</v>
      </c>
      <c r="M15" s="3">
        <f t="shared" si="5"/>
        <v>41.460000000000015</v>
      </c>
      <c r="N15" s="4">
        <f t="shared" si="13"/>
        <v>3.9205000000000014</v>
      </c>
      <c r="O15" s="4">
        <v>0</v>
      </c>
      <c r="P15" s="4">
        <f t="shared" si="6"/>
        <v>3.9205000000000014</v>
      </c>
      <c r="Q15" s="4">
        <f t="shared" si="7"/>
        <v>0</v>
      </c>
      <c r="R15" s="4">
        <f t="shared" si="8"/>
        <v>3.9205000000000014</v>
      </c>
      <c r="S15" s="8">
        <f t="shared" si="14"/>
        <v>39.099999999999994</v>
      </c>
      <c r="T15" s="8">
        <v>0</v>
      </c>
      <c r="U15" s="8">
        <f t="shared" si="9"/>
        <v>39.099999999999994</v>
      </c>
      <c r="V15" s="8">
        <f t="shared" si="10"/>
        <v>0</v>
      </c>
      <c r="W15" s="8">
        <f t="shared" si="11"/>
        <v>39.099999999999994</v>
      </c>
    </row>
    <row r="16" spans="1:23" x14ac:dyDescent="0.3">
      <c r="A16" s="6">
        <v>45791</v>
      </c>
      <c r="B16" s="7" t="s">
        <v>9</v>
      </c>
      <c r="D16" s="2">
        <f t="shared" si="12"/>
        <v>460.8</v>
      </c>
      <c r="F16" s="2">
        <f t="shared" si="0"/>
        <v>460.8</v>
      </c>
      <c r="G16" s="2">
        <f t="shared" si="1"/>
        <v>0</v>
      </c>
      <c r="H16" s="2">
        <f t="shared" si="2"/>
        <v>460.8</v>
      </c>
      <c r="I16" s="3">
        <f t="shared" si="15"/>
        <v>41.460000000000015</v>
      </c>
      <c r="K16" s="3">
        <f t="shared" si="3"/>
        <v>41.460000000000015</v>
      </c>
      <c r="L16" s="3">
        <f t="shared" si="4"/>
        <v>0</v>
      </c>
      <c r="M16" s="3">
        <f t="shared" si="5"/>
        <v>41.460000000000015</v>
      </c>
      <c r="N16" s="4">
        <f t="shared" si="13"/>
        <v>3.9205000000000014</v>
      </c>
      <c r="O16" s="4">
        <v>0</v>
      </c>
      <c r="P16" s="4">
        <f t="shared" si="6"/>
        <v>3.9205000000000014</v>
      </c>
      <c r="Q16" s="4">
        <f t="shared" si="7"/>
        <v>0</v>
      </c>
      <c r="R16" s="4">
        <f t="shared" si="8"/>
        <v>3.9205000000000014</v>
      </c>
      <c r="S16" s="8">
        <f t="shared" si="14"/>
        <v>39.099999999999994</v>
      </c>
      <c r="T16" s="8">
        <v>0</v>
      </c>
      <c r="U16" s="8">
        <f t="shared" si="9"/>
        <v>39.099999999999994</v>
      </c>
      <c r="V16" s="8">
        <f t="shared" si="10"/>
        <v>0</v>
      </c>
      <c r="W16" s="8">
        <f t="shared" si="11"/>
        <v>39.099999999999994</v>
      </c>
    </row>
    <row r="17" spans="1:23" x14ac:dyDescent="0.3">
      <c r="A17" s="6">
        <v>45792</v>
      </c>
      <c r="B17" s="7" t="s">
        <v>12</v>
      </c>
      <c r="D17" s="2">
        <f t="shared" si="12"/>
        <v>460.8</v>
      </c>
      <c r="F17" s="2">
        <f t="shared" si="0"/>
        <v>460.8</v>
      </c>
      <c r="G17" s="2">
        <f t="shared" si="1"/>
        <v>0</v>
      </c>
      <c r="H17" s="2">
        <f t="shared" si="2"/>
        <v>460.8</v>
      </c>
      <c r="I17" s="3">
        <f t="shared" si="15"/>
        <v>41.460000000000015</v>
      </c>
      <c r="K17" s="3">
        <f t="shared" si="3"/>
        <v>41.460000000000015</v>
      </c>
      <c r="L17" s="3">
        <f t="shared" si="4"/>
        <v>0</v>
      </c>
      <c r="M17" s="3">
        <f t="shared" si="5"/>
        <v>41.460000000000015</v>
      </c>
      <c r="N17" s="4">
        <f t="shared" si="13"/>
        <v>3.9205000000000014</v>
      </c>
      <c r="O17" s="4">
        <v>0</v>
      </c>
      <c r="P17" s="4">
        <f t="shared" si="6"/>
        <v>3.9205000000000014</v>
      </c>
      <c r="Q17" s="4">
        <f t="shared" si="7"/>
        <v>0</v>
      </c>
      <c r="R17" s="4">
        <f t="shared" si="8"/>
        <v>3.9205000000000014</v>
      </c>
      <c r="S17" s="8">
        <f t="shared" si="14"/>
        <v>39.099999999999994</v>
      </c>
      <c r="T17" s="8">
        <v>0</v>
      </c>
      <c r="U17" s="8">
        <f t="shared" si="9"/>
        <v>39.099999999999994</v>
      </c>
      <c r="V17" s="8">
        <f t="shared" si="10"/>
        <v>0</v>
      </c>
      <c r="W17" s="8">
        <f t="shared" si="11"/>
        <v>39.099999999999994</v>
      </c>
    </row>
    <row r="18" spans="1:23" x14ac:dyDescent="0.3">
      <c r="A18" s="6">
        <v>45793</v>
      </c>
      <c r="B18" s="7" t="s">
        <v>13</v>
      </c>
      <c r="D18" s="2">
        <f t="shared" si="12"/>
        <v>460.8</v>
      </c>
      <c r="F18" s="2">
        <f t="shared" si="0"/>
        <v>460.8</v>
      </c>
      <c r="G18" s="2">
        <f t="shared" si="1"/>
        <v>0</v>
      </c>
      <c r="H18" s="2">
        <f t="shared" si="2"/>
        <v>460.8</v>
      </c>
      <c r="I18" s="3">
        <f t="shared" si="15"/>
        <v>41.460000000000015</v>
      </c>
      <c r="K18" s="3">
        <f t="shared" si="3"/>
        <v>41.460000000000015</v>
      </c>
      <c r="L18" s="3">
        <f t="shared" si="4"/>
        <v>0</v>
      </c>
      <c r="M18" s="3">
        <f t="shared" si="5"/>
        <v>41.460000000000015</v>
      </c>
      <c r="N18" s="4">
        <f t="shared" si="13"/>
        <v>3.9205000000000014</v>
      </c>
      <c r="O18" s="4">
        <v>0</v>
      </c>
      <c r="P18" s="4">
        <f t="shared" si="6"/>
        <v>3.9205000000000014</v>
      </c>
      <c r="Q18" s="4">
        <f t="shared" si="7"/>
        <v>0</v>
      </c>
      <c r="R18" s="4">
        <f t="shared" si="8"/>
        <v>3.9205000000000014</v>
      </c>
      <c r="S18" s="8">
        <f t="shared" si="14"/>
        <v>39.099999999999994</v>
      </c>
      <c r="T18" s="8">
        <v>0</v>
      </c>
      <c r="U18" s="8">
        <f t="shared" si="9"/>
        <v>39.099999999999994</v>
      </c>
      <c r="V18" s="8">
        <f t="shared" si="10"/>
        <v>0</v>
      </c>
      <c r="W18" s="8">
        <f t="shared" si="11"/>
        <v>39.099999999999994</v>
      </c>
    </row>
    <row r="19" spans="1:23" x14ac:dyDescent="0.3">
      <c r="A19" s="6">
        <v>45794</v>
      </c>
      <c r="B19" s="7" t="s">
        <v>14</v>
      </c>
      <c r="D19" s="2">
        <f t="shared" si="12"/>
        <v>460.8</v>
      </c>
      <c r="F19" s="2">
        <f t="shared" si="0"/>
        <v>460.8</v>
      </c>
      <c r="G19" s="2">
        <f t="shared" si="1"/>
        <v>0</v>
      </c>
      <c r="H19" s="2">
        <f t="shared" si="2"/>
        <v>460.8</v>
      </c>
      <c r="I19" s="3">
        <f t="shared" si="15"/>
        <v>41.460000000000015</v>
      </c>
      <c r="K19" s="3">
        <f t="shared" si="3"/>
        <v>41.460000000000015</v>
      </c>
      <c r="L19" s="3">
        <f t="shared" si="4"/>
        <v>0</v>
      </c>
      <c r="M19" s="3">
        <f t="shared" si="5"/>
        <v>41.460000000000015</v>
      </c>
      <c r="N19" s="4">
        <f t="shared" si="13"/>
        <v>3.9205000000000014</v>
      </c>
      <c r="O19" s="4">
        <v>0</v>
      </c>
      <c r="P19" s="4">
        <f t="shared" si="6"/>
        <v>3.9205000000000014</v>
      </c>
      <c r="Q19" s="4">
        <f t="shared" si="7"/>
        <v>0</v>
      </c>
      <c r="R19" s="4">
        <f t="shared" si="8"/>
        <v>3.9205000000000014</v>
      </c>
      <c r="S19" s="8">
        <f t="shared" si="14"/>
        <v>39.099999999999994</v>
      </c>
      <c r="T19" s="8">
        <v>0</v>
      </c>
      <c r="U19" s="8">
        <f t="shared" si="9"/>
        <v>39.099999999999994</v>
      </c>
      <c r="V19" s="8">
        <f t="shared" si="10"/>
        <v>0</v>
      </c>
      <c r="W19" s="8">
        <f t="shared" si="11"/>
        <v>39.099999999999994</v>
      </c>
    </row>
    <row r="20" spans="1:23" x14ac:dyDescent="0.3">
      <c r="A20" s="6">
        <v>45795</v>
      </c>
      <c r="B20" s="7" t="s">
        <v>15</v>
      </c>
      <c r="D20" s="2">
        <f t="shared" si="12"/>
        <v>460.8</v>
      </c>
      <c r="F20" s="2">
        <f t="shared" si="0"/>
        <v>460.8</v>
      </c>
      <c r="G20" s="2">
        <f t="shared" si="1"/>
        <v>0</v>
      </c>
      <c r="H20" s="2">
        <f t="shared" si="2"/>
        <v>460.8</v>
      </c>
      <c r="I20" s="3">
        <f t="shared" si="15"/>
        <v>41.460000000000015</v>
      </c>
      <c r="K20" s="3">
        <f t="shared" si="3"/>
        <v>41.460000000000015</v>
      </c>
      <c r="L20" s="3">
        <f t="shared" si="4"/>
        <v>0</v>
      </c>
      <c r="M20" s="3">
        <f t="shared" si="5"/>
        <v>41.460000000000015</v>
      </c>
      <c r="N20" s="4">
        <f t="shared" si="13"/>
        <v>3.9205000000000014</v>
      </c>
      <c r="O20" s="4">
        <v>0</v>
      </c>
      <c r="P20" s="4">
        <f t="shared" si="6"/>
        <v>3.9205000000000014</v>
      </c>
      <c r="Q20" s="4">
        <f t="shared" si="7"/>
        <v>0</v>
      </c>
      <c r="R20" s="4">
        <f t="shared" si="8"/>
        <v>3.9205000000000014</v>
      </c>
      <c r="S20" s="8">
        <f t="shared" si="14"/>
        <v>39.099999999999994</v>
      </c>
      <c r="T20" s="8">
        <v>0</v>
      </c>
      <c r="U20" s="8">
        <f t="shared" si="9"/>
        <v>39.099999999999994</v>
      </c>
      <c r="V20" s="8">
        <f t="shared" si="10"/>
        <v>0</v>
      </c>
      <c r="W20" s="8">
        <f t="shared" si="11"/>
        <v>39.099999999999994</v>
      </c>
    </row>
    <row r="21" spans="1:23" x14ac:dyDescent="0.3">
      <c r="A21" s="6">
        <v>45796</v>
      </c>
      <c r="B21" s="7" t="s">
        <v>16</v>
      </c>
      <c r="D21" s="2">
        <f t="shared" si="12"/>
        <v>460.8</v>
      </c>
      <c r="F21" s="2">
        <f t="shared" si="0"/>
        <v>460.8</v>
      </c>
      <c r="G21" s="2">
        <f t="shared" si="1"/>
        <v>0</v>
      </c>
      <c r="H21" s="2">
        <f t="shared" si="2"/>
        <v>460.8</v>
      </c>
      <c r="I21" s="3">
        <f t="shared" si="15"/>
        <v>41.460000000000015</v>
      </c>
      <c r="K21" s="3">
        <f t="shared" si="3"/>
        <v>41.460000000000015</v>
      </c>
      <c r="L21" s="3">
        <f t="shared" si="4"/>
        <v>0</v>
      </c>
      <c r="M21" s="3">
        <f t="shared" si="5"/>
        <v>41.460000000000015</v>
      </c>
      <c r="N21" s="4">
        <f t="shared" si="13"/>
        <v>3.9205000000000014</v>
      </c>
      <c r="O21" s="4">
        <v>0</v>
      </c>
      <c r="P21" s="4">
        <f t="shared" si="6"/>
        <v>3.9205000000000014</v>
      </c>
      <c r="Q21" s="4">
        <f t="shared" si="7"/>
        <v>0</v>
      </c>
      <c r="R21" s="4">
        <f t="shared" si="8"/>
        <v>3.9205000000000014</v>
      </c>
      <c r="S21" s="8">
        <f t="shared" si="14"/>
        <v>39.099999999999994</v>
      </c>
      <c r="T21" s="8">
        <v>0</v>
      </c>
      <c r="U21" s="8">
        <f t="shared" si="9"/>
        <v>39.099999999999994</v>
      </c>
      <c r="V21" s="8">
        <f t="shared" si="10"/>
        <v>0</v>
      </c>
      <c r="W21" s="8">
        <f t="shared" si="11"/>
        <v>39.099999999999994</v>
      </c>
    </row>
    <row r="22" spans="1:23" x14ac:dyDescent="0.3">
      <c r="A22" s="6">
        <v>45797</v>
      </c>
      <c r="B22" s="7" t="s">
        <v>17</v>
      </c>
      <c r="D22" s="2">
        <f t="shared" si="12"/>
        <v>460.8</v>
      </c>
      <c r="F22" s="2">
        <f t="shared" si="0"/>
        <v>460.8</v>
      </c>
      <c r="G22" s="2">
        <f t="shared" si="1"/>
        <v>0</v>
      </c>
      <c r="H22" s="2">
        <f t="shared" si="2"/>
        <v>460.8</v>
      </c>
      <c r="I22" s="3">
        <f t="shared" si="15"/>
        <v>41.460000000000015</v>
      </c>
      <c r="K22" s="3">
        <f t="shared" si="3"/>
        <v>41.460000000000015</v>
      </c>
      <c r="L22" s="3">
        <f t="shared" si="4"/>
        <v>0</v>
      </c>
      <c r="M22" s="3">
        <f t="shared" si="5"/>
        <v>41.460000000000015</v>
      </c>
      <c r="N22" s="4">
        <f t="shared" si="13"/>
        <v>3.9205000000000014</v>
      </c>
      <c r="O22" s="4">
        <v>0</v>
      </c>
      <c r="P22" s="4">
        <f t="shared" si="6"/>
        <v>3.9205000000000014</v>
      </c>
      <c r="Q22" s="4">
        <f t="shared" si="7"/>
        <v>0</v>
      </c>
      <c r="R22" s="4">
        <f t="shared" si="8"/>
        <v>3.9205000000000014</v>
      </c>
      <c r="S22" s="8">
        <f t="shared" si="14"/>
        <v>39.099999999999994</v>
      </c>
      <c r="T22" s="8">
        <v>0</v>
      </c>
      <c r="U22" s="8">
        <f t="shared" si="9"/>
        <v>39.099999999999994</v>
      </c>
      <c r="V22" s="8">
        <f t="shared" si="10"/>
        <v>0</v>
      </c>
      <c r="W22" s="8">
        <f t="shared" si="11"/>
        <v>39.099999999999994</v>
      </c>
    </row>
    <row r="23" spans="1:23" x14ac:dyDescent="0.3">
      <c r="A23" s="6">
        <v>45798</v>
      </c>
      <c r="B23" s="7" t="s">
        <v>9</v>
      </c>
      <c r="D23" s="2">
        <f t="shared" si="12"/>
        <v>460.8</v>
      </c>
      <c r="F23" s="2">
        <f t="shared" si="0"/>
        <v>460.8</v>
      </c>
      <c r="G23" s="2">
        <f t="shared" si="1"/>
        <v>0</v>
      </c>
      <c r="H23" s="2">
        <f t="shared" si="2"/>
        <v>460.8</v>
      </c>
      <c r="I23" s="3">
        <f t="shared" si="15"/>
        <v>41.460000000000015</v>
      </c>
      <c r="K23" s="3">
        <f t="shared" si="3"/>
        <v>41.460000000000015</v>
      </c>
      <c r="L23" s="3">
        <f t="shared" si="4"/>
        <v>0</v>
      </c>
      <c r="M23" s="3">
        <f t="shared" si="5"/>
        <v>41.460000000000015</v>
      </c>
      <c r="N23" s="4">
        <f t="shared" si="13"/>
        <v>3.9205000000000014</v>
      </c>
      <c r="O23" s="4">
        <v>0</v>
      </c>
      <c r="P23" s="4">
        <f t="shared" si="6"/>
        <v>3.9205000000000014</v>
      </c>
      <c r="Q23" s="4">
        <f t="shared" si="7"/>
        <v>0</v>
      </c>
      <c r="R23" s="4">
        <f t="shared" si="8"/>
        <v>3.9205000000000014</v>
      </c>
      <c r="S23" s="8">
        <f t="shared" si="14"/>
        <v>39.099999999999994</v>
      </c>
      <c r="T23" s="8">
        <v>0</v>
      </c>
      <c r="U23" s="8">
        <f t="shared" si="9"/>
        <v>39.099999999999994</v>
      </c>
      <c r="V23" s="8">
        <f t="shared" si="10"/>
        <v>0</v>
      </c>
      <c r="W23" s="8">
        <f t="shared" si="11"/>
        <v>39.099999999999994</v>
      </c>
    </row>
    <row r="24" spans="1:23" x14ac:dyDescent="0.3">
      <c r="A24" s="6">
        <v>45799</v>
      </c>
      <c r="B24" s="7" t="s">
        <v>12</v>
      </c>
      <c r="D24" s="2">
        <f t="shared" si="12"/>
        <v>460.8</v>
      </c>
      <c r="F24" s="2">
        <f t="shared" si="0"/>
        <v>460.8</v>
      </c>
      <c r="G24" s="2">
        <f t="shared" si="1"/>
        <v>0</v>
      </c>
      <c r="H24" s="2">
        <f t="shared" si="2"/>
        <v>460.8</v>
      </c>
      <c r="I24" s="3">
        <f t="shared" si="15"/>
        <v>41.460000000000015</v>
      </c>
      <c r="K24" s="3">
        <f t="shared" si="3"/>
        <v>41.460000000000015</v>
      </c>
      <c r="L24" s="3">
        <f t="shared" si="4"/>
        <v>0</v>
      </c>
      <c r="M24" s="3">
        <f t="shared" si="5"/>
        <v>41.460000000000015</v>
      </c>
      <c r="N24" s="4">
        <f t="shared" si="13"/>
        <v>3.9205000000000014</v>
      </c>
      <c r="O24" s="4">
        <v>0</v>
      </c>
      <c r="P24" s="4">
        <f t="shared" si="6"/>
        <v>3.9205000000000014</v>
      </c>
      <c r="Q24" s="4">
        <f t="shared" si="7"/>
        <v>0</v>
      </c>
      <c r="R24" s="4">
        <f t="shared" si="8"/>
        <v>3.9205000000000014</v>
      </c>
      <c r="S24" s="8">
        <f t="shared" si="14"/>
        <v>39.099999999999994</v>
      </c>
      <c r="T24" s="8">
        <v>0</v>
      </c>
      <c r="U24" s="8">
        <f t="shared" si="9"/>
        <v>39.099999999999994</v>
      </c>
      <c r="V24" s="8">
        <f t="shared" si="10"/>
        <v>0</v>
      </c>
      <c r="W24" s="8">
        <f t="shared" si="11"/>
        <v>39.099999999999994</v>
      </c>
    </row>
    <row r="25" spans="1:23" x14ac:dyDescent="0.3">
      <c r="A25" s="6">
        <v>45800</v>
      </c>
      <c r="B25" s="7" t="s">
        <v>13</v>
      </c>
      <c r="D25" s="2">
        <f t="shared" si="12"/>
        <v>460.8</v>
      </c>
      <c r="F25" s="2">
        <f t="shared" si="0"/>
        <v>460.8</v>
      </c>
      <c r="G25" s="2">
        <f>PRODUCT(C25 * 150)/1000</f>
        <v>0</v>
      </c>
      <c r="H25" s="2">
        <f t="shared" si="2"/>
        <v>460.8</v>
      </c>
      <c r="I25" s="3">
        <f t="shared" si="15"/>
        <v>41.460000000000015</v>
      </c>
      <c r="K25" s="3">
        <f t="shared" si="3"/>
        <v>41.460000000000015</v>
      </c>
      <c r="L25" s="3">
        <f t="shared" si="4"/>
        <v>0</v>
      </c>
      <c r="M25" s="3">
        <f t="shared" si="5"/>
        <v>41.460000000000015</v>
      </c>
      <c r="N25" s="4">
        <f t="shared" si="13"/>
        <v>3.9205000000000014</v>
      </c>
      <c r="O25" s="4">
        <v>0</v>
      </c>
      <c r="P25" s="4">
        <f t="shared" si="6"/>
        <v>3.9205000000000014</v>
      </c>
      <c r="Q25" s="4">
        <f t="shared" si="7"/>
        <v>0</v>
      </c>
      <c r="R25" s="4">
        <f t="shared" si="8"/>
        <v>3.9205000000000014</v>
      </c>
      <c r="S25" s="8">
        <f t="shared" si="14"/>
        <v>39.099999999999994</v>
      </c>
      <c r="T25" s="8">
        <v>0</v>
      </c>
      <c r="U25" s="8">
        <f t="shared" si="9"/>
        <v>39.099999999999994</v>
      </c>
      <c r="V25" s="8">
        <f t="shared" si="10"/>
        <v>0</v>
      </c>
      <c r="W25" s="8">
        <f t="shared" si="11"/>
        <v>39.099999999999994</v>
      </c>
    </row>
    <row r="26" spans="1:23" x14ac:dyDescent="0.3">
      <c r="A26" s="6">
        <v>45801</v>
      </c>
      <c r="B26" s="7" t="s">
        <v>14</v>
      </c>
      <c r="D26" s="2">
        <f t="shared" si="12"/>
        <v>460.8</v>
      </c>
      <c r="F26" s="2">
        <f t="shared" si="0"/>
        <v>460.8</v>
      </c>
      <c r="G26" s="2">
        <f t="shared" si="1"/>
        <v>0</v>
      </c>
      <c r="H26" s="2">
        <f t="shared" si="2"/>
        <v>460.8</v>
      </c>
      <c r="I26" s="3">
        <f t="shared" si="15"/>
        <v>41.460000000000015</v>
      </c>
      <c r="K26" s="3">
        <f t="shared" si="3"/>
        <v>41.460000000000015</v>
      </c>
      <c r="L26" s="3">
        <f t="shared" si="4"/>
        <v>0</v>
      </c>
      <c r="M26" s="3">
        <f t="shared" si="5"/>
        <v>41.460000000000015</v>
      </c>
      <c r="N26" s="4">
        <f t="shared" si="13"/>
        <v>3.9205000000000014</v>
      </c>
      <c r="O26" s="4">
        <v>0</v>
      </c>
      <c r="P26" s="4">
        <f t="shared" si="6"/>
        <v>3.9205000000000014</v>
      </c>
      <c r="Q26" s="4">
        <f t="shared" si="7"/>
        <v>0</v>
      </c>
      <c r="R26" s="4">
        <f t="shared" si="8"/>
        <v>3.9205000000000014</v>
      </c>
      <c r="S26" s="8">
        <f t="shared" si="14"/>
        <v>39.099999999999994</v>
      </c>
      <c r="T26" s="8">
        <v>0</v>
      </c>
      <c r="U26" s="8">
        <f t="shared" si="9"/>
        <v>39.099999999999994</v>
      </c>
      <c r="V26" s="8">
        <f t="shared" si="10"/>
        <v>0</v>
      </c>
      <c r="W26" s="8">
        <f t="shared" si="11"/>
        <v>39.099999999999994</v>
      </c>
    </row>
    <row r="27" spans="1:23" x14ac:dyDescent="0.3">
      <c r="A27" s="6">
        <v>45802</v>
      </c>
      <c r="B27" s="7" t="s">
        <v>15</v>
      </c>
      <c r="D27" s="2">
        <f t="shared" si="12"/>
        <v>460.8</v>
      </c>
      <c r="F27" s="2">
        <f>SUM(D27,E27)</f>
        <v>460.8</v>
      </c>
      <c r="G27" s="2">
        <f t="shared" si="1"/>
        <v>0</v>
      </c>
      <c r="H27" s="2">
        <f t="shared" si="2"/>
        <v>460.8</v>
      </c>
      <c r="I27" s="3">
        <f t="shared" si="15"/>
        <v>41.460000000000015</v>
      </c>
      <c r="K27" s="3">
        <f t="shared" si="3"/>
        <v>41.460000000000015</v>
      </c>
      <c r="L27" s="3">
        <f t="shared" si="4"/>
        <v>0</v>
      </c>
      <c r="M27" s="3">
        <f t="shared" si="5"/>
        <v>41.460000000000015</v>
      </c>
      <c r="N27" s="4">
        <f t="shared" si="13"/>
        <v>3.9205000000000014</v>
      </c>
      <c r="O27" s="4">
        <v>0</v>
      </c>
      <c r="P27" s="4">
        <f t="shared" si="6"/>
        <v>3.9205000000000014</v>
      </c>
      <c r="Q27" s="4">
        <f t="shared" si="7"/>
        <v>0</v>
      </c>
      <c r="R27" s="4">
        <f t="shared" si="8"/>
        <v>3.9205000000000014</v>
      </c>
      <c r="S27" s="8">
        <f t="shared" si="14"/>
        <v>39.099999999999994</v>
      </c>
      <c r="T27" s="8">
        <v>0</v>
      </c>
      <c r="U27" s="8">
        <f t="shared" si="9"/>
        <v>39.099999999999994</v>
      </c>
      <c r="V27" s="8">
        <f t="shared" si="10"/>
        <v>0</v>
      </c>
      <c r="W27" s="8">
        <f t="shared" si="11"/>
        <v>39.099999999999994</v>
      </c>
    </row>
    <row r="28" spans="1:23" x14ac:dyDescent="0.3">
      <c r="A28" s="6">
        <v>45803</v>
      </c>
      <c r="B28" s="7" t="s">
        <v>16</v>
      </c>
      <c r="D28" s="2">
        <f t="shared" si="12"/>
        <v>460.8</v>
      </c>
      <c r="F28" s="2">
        <f t="shared" si="0"/>
        <v>460.8</v>
      </c>
      <c r="G28" s="2">
        <f t="shared" si="1"/>
        <v>0</v>
      </c>
      <c r="H28" s="2">
        <f t="shared" si="2"/>
        <v>460.8</v>
      </c>
      <c r="I28" s="3">
        <f t="shared" si="15"/>
        <v>41.460000000000015</v>
      </c>
      <c r="K28" s="3">
        <f t="shared" si="3"/>
        <v>41.460000000000015</v>
      </c>
      <c r="L28" s="3">
        <f t="shared" si="4"/>
        <v>0</v>
      </c>
      <c r="M28" s="3">
        <f t="shared" si="5"/>
        <v>41.460000000000015</v>
      </c>
      <c r="N28" s="4">
        <f t="shared" si="13"/>
        <v>3.9205000000000014</v>
      </c>
      <c r="O28" s="4">
        <v>0</v>
      </c>
      <c r="P28" s="4">
        <f t="shared" si="6"/>
        <v>3.9205000000000014</v>
      </c>
      <c r="Q28" s="4">
        <f t="shared" si="7"/>
        <v>0</v>
      </c>
      <c r="R28" s="4">
        <f t="shared" si="8"/>
        <v>3.9205000000000014</v>
      </c>
      <c r="S28" s="8">
        <f t="shared" si="14"/>
        <v>39.099999999999994</v>
      </c>
      <c r="T28" s="8">
        <v>0</v>
      </c>
      <c r="U28" s="8">
        <f t="shared" si="9"/>
        <v>39.099999999999994</v>
      </c>
      <c r="V28" s="8">
        <f t="shared" si="10"/>
        <v>0</v>
      </c>
      <c r="W28" s="8">
        <f t="shared" si="11"/>
        <v>39.099999999999994</v>
      </c>
    </row>
    <row r="29" spans="1:23" x14ac:dyDescent="0.3">
      <c r="A29" s="6">
        <v>45804</v>
      </c>
      <c r="B29" s="7" t="s">
        <v>17</v>
      </c>
      <c r="D29" s="2">
        <f t="shared" si="12"/>
        <v>460.8</v>
      </c>
      <c r="F29" s="2">
        <f t="shared" si="0"/>
        <v>460.8</v>
      </c>
      <c r="G29" s="2">
        <f t="shared" si="1"/>
        <v>0</v>
      </c>
      <c r="H29" s="2">
        <f t="shared" si="2"/>
        <v>460.8</v>
      </c>
      <c r="I29" s="3">
        <f t="shared" si="15"/>
        <v>41.460000000000015</v>
      </c>
      <c r="K29" s="3">
        <f t="shared" si="3"/>
        <v>41.460000000000015</v>
      </c>
      <c r="L29" s="3">
        <f t="shared" si="4"/>
        <v>0</v>
      </c>
      <c r="M29" s="3">
        <f t="shared" si="5"/>
        <v>41.460000000000015</v>
      </c>
      <c r="N29" s="4">
        <f t="shared" si="13"/>
        <v>3.9205000000000014</v>
      </c>
      <c r="O29" s="4">
        <v>0</v>
      </c>
      <c r="P29" s="4">
        <f t="shared" si="6"/>
        <v>3.9205000000000014</v>
      </c>
      <c r="Q29" s="4">
        <f t="shared" si="7"/>
        <v>0</v>
      </c>
      <c r="R29" s="4">
        <f t="shared" si="8"/>
        <v>3.9205000000000014</v>
      </c>
      <c r="S29" s="8">
        <f t="shared" si="14"/>
        <v>39.099999999999994</v>
      </c>
      <c r="T29" s="8">
        <v>0</v>
      </c>
      <c r="U29" s="8">
        <f t="shared" si="9"/>
        <v>39.099999999999994</v>
      </c>
      <c r="V29" s="8">
        <f t="shared" si="10"/>
        <v>0</v>
      </c>
      <c r="W29" s="8">
        <f t="shared" si="11"/>
        <v>39.099999999999994</v>
      </c>
    </row>
    <row r="30" spans="1:23" x14ac:dyDescent="0.3">
      <c r="A30" s="6">
        <v>45805</v>
      </c>
      <c r="B30" s="7" t="s">
        <v>9</v>
      </c>
      <c r="D30" s="2">
        <f t="shared" si="12"/>
        <v>460.8</v>
      </c>
      <c r="F30" s="2">
        <f t="shared" si="0"/>
        <v>460.8</v>
      </c>
      <c r="G30" s="2">
        <f t="shared" si="1"/>
        <v>0</v>
      </c>
      <c r="H30" s="2">
        <f t="shared" si="2"/>
        <v>460.8</v>
      </c>
      <c r="I30" s="3">
        <f t="shared" si="15"/>
        <v>41.460000000000015</v>
      </c>
      <c r="K30" s="3">
        <f t="shared" si="3"/>
        <v>41.460000000000015</v>
      </c>
      <c r="L30" s="3">
        <f t="shared" si="4"/>
        <v>0</v>
      </c>
      <c r="M30" s="3">
        <f t="shared" si="5"/>
        <v>41.460000000000015</v>
      </c>
      <c r="N30" s="4">
        <f t="shared" si="13"/>
        <v>3.9205000000000014</v>
      </c>
      <c r="O30" s="4">
        <v>0</v>
      </c>
      <c r="P30" s="4">
        <f t="shared" si="6"/>
        <v>3.9205000000000014</v>
      </c>
      <c r="Q30" s="4">
        <f t="shared" si="7"/>
        <v>0</v>
      </c>
      <c r="R30" s="4">
        <f t="shared" si="8"/>
        <v>3.9205000000000014</v>
      </c>
      <c r="S30" s="8">
        <f t="shared" si="14"/>
        <v>39.099999999999994</v>
      </c>
      <c r="T30" s="8">
        <v>0</v>
      </c>
      <c r="U30" s="8">
        <f t="shared" si="9"/>
        <v>39.099999999999994</v>
      </c>
      <c r="V30" s="8">
        <f t="shared" si="10"/>
        <v>0</v>
      </c>
      <c r="W30" s="8">
        <f t="shared" si="11"/>
        <v>39.099999999999994</v>
      </c>
    </row>
    <row r="31" spans="1:23" x14ac:dyDescent="0.3">
      <c r="A31" s="6">
        <v>45806</v>
      </c>
      <c r="B31" s="7" t="s">
        <v>12</v>
      </c>
      <c r="D31" s="2">
        <f t="shared" si="12"/>
        <v>460.8</v>
      </c>
      <c r="F31" s="2">
        <f t="shared" si="0"/>
        <v>460.8</v>
      </c>
      <c r="G31" s="2">
        <f t="shared" si="1"/>
        <v>0</v>
      </c>
      <c r="H31" s="2">
        <f t="shared" si="2"/>
        <v>460.8</v>
      </c>
      <c r="I31" s="3">
        <f t="shared" si="15"/>
        <v>41.460000000000015</v>
      </c>
      <c r="K31" s="3">
        <f t="shared" si="3"/>
        <v>41.460000000000015</v>
      </c>
      <c r="L31" s="3">
        <f t="shared" si="4"/>
        <v>0</v>
      </c>
      <c r="M31" s="3">
        <f t="shared" si="5"/>
        <v>41.460000000000015</v>
      </c>
      <c r="N31" s="4">
        <f t="shared" si="13"/>
        <v>3.9205000000000014</v>
      </c>
      <c r="O31" s="4">
        <v>0</v>
      </c>
      <c r="P31" s="4">
        <f t="shared" si="6"/>
        <v>3.9205000000000014</v>
      </c>
      <c r="Q31" s="4">
        <f t="shared" si="7"/>
        <v>0</v>
      </c>
      <c r="R31" s="4">
        <f t="shared" si="8"/>
        <v>3.9205000000000014</v>
      </c>
      <c r="S31" s="8">
        <f t="shared" si="14"/>
        <v>39.099999999999994</v>
      </c>
      <c r="T31" s="8">
        <v>0</v>
      </c>
      <c r="U31" s="8">
        <f t="shared" si="9"/>
        <v>39.099999999999994</v>
      </c>
      <c r="V31" s="8">
        <f t="shared" si="10"/>
        <v>0</v>
      </c>
      <c r="W31" s="8">
        <f t="shared" si="11"/>
        <v>39.099999999999994</v>
      </c>
    </row>
    <row r="32" spans="1:23" x14ac:dyDescent="0.3">
      <c r="A32" s="6">
        <v>45807</v>
      </c>
      <c r="B32" s="7" t="s">
        <v>13</v>
      </c>
      <c r="D32" s="2">
        <f t="shared" si="12"/>
        <v>460.8</v>
      </c>
      <c r="F32" s="2">
        <f t="shared" si="0"/>
        <v>460.8</v>
      </c>
      <c r="G32" s="2">
        <f t="shared" si="1"/>
        <v>0</v>
      </c>
      <c r="H32" s="2">
        <f t="shared" si="2"/>
        <v>460.8</v>
      </c>
      <c r="I32" s="3">
        <f t="shared" si="15"/>
        <v>41.460000000000015</v>
      </c>
      <c r="K32" s="3">
        <f t="shared" si="3"/>
        <v>41.460000000000015</v>
      </c>
      <c r="L32" s="3">
        <f t="shared" si="4"/>
        <v>0</v>
      </c>
      <c r="M32" s="3">
        <f t="shared" si="5"/>
        <v>41.460000000000015</v>
      </c>
      <c r="N32" s="4">
        <f t="shared" si="13"/>
        <v>3.9205000000000014</v>
      </c>
      <c r="O32" s="4">
        <v>0</v>
      </c>
      <c r="P32" s="4">
        <f t="shared" si="6"/>
        <v>3.9205000000000014</v>
      </c>
      <c r="Q32" s="4">
        <f t="shared" si="7"/>
        <v>0</v>
      </c>
      <c r="R32" s="4">
        <f t="shared" si="8"/>
        <v>3.9205000000000014</v>
      </c>
      <c r="S32" s="8">
        <f t="shared" si="14"/>
        <v>39.099999999999994</v>
      </c>
      <c r="T32" s="8">
        <v>0</v>
      </c>
      <c r="U32" s="8">
        <f t="shared" si="9"/>
        <v>39.099999999999994</v>
      </c>
      <c r="V32" s="8">
        <f t="shared" si="10"/>
        <v>0</v>
      </c>
      <c r="W32" s="8">
        <f t="shared" si="11"/>
        <v>39.099999999999994</v>
      </c>
    </row>
    <row r="33" spans="1:23" x14ac:dyDescent="0.3">
      <c r="A33" s="6">
        <v>45808</v>
      </c>
      <c r="B33" s="7" t="s">
        <v>14</v>
      </c>
      <c r="D33" s="2">
        <f t="shared" si="12"/>
        <v>460.8</v>
      </c>
      <c r="F33" s="2">
        <f t="shared" si="0"/>
        <v>460.8</v>
      </c>
      <c r="G33" s="2">
        <f t="shared" si="1"/>
        <v>0</v>
      </c>
      <c r="H33" s="2">
        <f t="shared" si="2"/>
        <v>460.8</v>
      </c>
      <c r="I33" s="3">
        <f t="shared" si="15"/>
        <v>41.460000000000015</v>
      </c>
      <c r="K33" s="3">
        <f t="shared" si="3"/>
        <v>41.460000000000015</v>
      </c>
      <c r="L33" s="3">
        <f t="shared" si="4"/>
        <v>0</v>
      </c>
      <c r="M33" s="3">
        <f t="shared" si="5"/>
        <v>41.460000000000015</v>
      </c>
      <c r="N33" s="4">
        <f t="shared" si="13"/>
        <v>3.9205000000000014</v>
      </c>
      <c r="O33" s="4">
        <v>0</v>
      </c>
      <c r="P33" s="4">
        <f t="shared" si="6"/>
        <v>3.9205000000000014</v>
      </c>
      <c r="Q33" s="4">
        <f t="shared" si="7"/>
        <v>0</v>
      </c>
      <c r="R33" s="4">
        <f t="shared" si="8"/>
        <v>3.9205000000000014</v>
      </c>
      <c r="S33" s="8">
        <f t="shared" si="14"/>
        <v>39.099999999999994</v>
      </c>
      <c r="T33" s="8">
        <v>0</v>
      </c>
      <c r="U33" s="8">
        <f>SUM(S33,T33)</f>
        <v>39.099999999999994</v>
      </c>
      <c r="V33" s="8">
        <f t="shared" si="10"/>
        <v>0</v>
      </c>
      <c r="W33" s="8">
        <f t="shared" si="11"/>
        <v>39.099999999999994</v>
      </c>
    </row>
    <row r="34" spans="1:23" x14ac:dyDescent="0.3">
      <c r="Q34" s="4">
        <f t="shared" si="7"/>
        <v>0</v>
      </c>
    </row>
    <row r="35" spans="1:23" x14ac:dyDescent="0.3">
      <c r="Q35" s="4">
        <f t="shared" si="7"/>
        <v>0</v>
      </c>
    </row>
  </sheetData>
  <mergeCells count="7">
    <mergeCell ref="N1:R1"/>
    <mergeCell ref="S1:W1"/>
    <mergeCell ref="A1:A2"/>
    <mergeCell ref="B1:B2"/>
    <mergeCell ref="C1:C2"/>
    <mergeCell ref="D1:H1"/>
    <mergeCell ref="I1:M1"/>
  </mergeCells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"/>
  <sheetViews>
    <sheetView zoomScale="150" zoomScaleNormal="150" workbookViewId="0">
      <selection activeCell="I5" sqref="I5"/>
    </sheetView>
  </sheetViews>
  <sheetFormatPr defaultColWidth="8.88671875" defaultRowHeight="14.4" x14ac:dyDescent="0.3"/>
  <cols>
    <col min="1" max="1" width="10.5546875" style="1" bestFit="1" customWidth="1"/>
    <col min="2" max="2" width="10.44140625" style="1" bestFit="1" customWidth="1"/>
    <col min="3" max="3" width="5.88671875" style="7" bestFit="1" customWidth="1"/>
    <col min="4" max="4" width="8.109375" style="2" bestFit="1" customWidth="1"/>
    <col min="5" max="5" width="6.33203125" style="2" bestFit="1" customWidth="1"/>
    <col min="6" max="6" width="6.6640625" style="2" bestFit="1" customWidth="1"/>
    <col min="7" max="7" width="11.33203125" style="2" bestFit="1" customWidth="1"/>
    <col min="8" max="8" width="7.44140625" style="2" bestFit="1" customWidth="1"/>
    <col min="9" max="9" width="8.109375" style="3" bestFit="1" customWidth="1"/>
    <col min="10" max="10" width="6.33203125" style="3" bestFit="1" customWidth="1"/>
    <col min="11" max="11" width="5.33203125" style="3" bestFit="1" customWidth="1"/>
    <col min="12" max="12" width="11.33203125" style="3" bestFit="1" customWidth="1"/>
    <col min="13" max="13" width="7.44140625" style="3" bestFit="1" customWidth="1"/>
    <col min="19" max="19" width="8.109375" style="9" bestFit="1" customWidth="1"/>
    <col min="20" max="20" width="6.33203125" style="9" bestFit="1" customWidth="1"/>
    <col min="21" max="21" width="5.33203125" style="9" bestFit="1" customWidth="1"/>
    <col min="22" max="22" width="11.33203125" style="9" bestFit="1" customWidth="1"/>
    <col min="23" max="23" width="8" style="9" bestFit="1" customWidth="1"/>
    <col min="24" max="16384" width="8.88671875" style="1"/>
  </cols>
  <sheetData>
    <row r="1" spans="1:23" x14ac:dyDescent="0.3">
      <c r="A1" s="18" t="s">
        <v>0</v>
      </c>
      <c r="B1" s="18" t="s">
        <v>6</v>
      </c>
      <c r="C1" s="18" t="s">
        <v>7</v>
      </c>
      <c r="D1" s="29" t="s">
        <v>43</v>
      </c>
      <c r="E1" s="29"/>
      <c r="F1" s="29"/>
      <c r="G1" s="29"/>
      <c r="H1" s="29"/>
      <c r="I1" s="30" t="s">
        <v>32</v>
      </c>
      <c r="J1" s="30"/>
      <c r="K1" s="30"/>
      <c r="L1" s="30"/>
      <c r="M1" s="30"/>
      <c r="N1" s="1"/>
      <c r="O1" s="1"/>
      <c r="P1" s="1"/>
      <c r="Q1" s="1"/>
      <c r="R1" s="1"/>
      <c r="S1" s="31"/>
      <c r="T1" s="31"/>
      <c r="U1" s="31"/>
      <c r="V1" s="31"/>
      <c r="W1" s="31"/>
    </row>
    <row r="2" spans="1:23" x14ac:dyDescent="0.3">
      <c r="A2" s="18"/>
      <c r="B2" s="18"/>
      <c r="C2" s="18"/>
      <c r="D2" s="2" t="s">
        <v>26</v>
      </c>
      <c r="E2" s="2" t="s">
        <v>10</v>
      </c>
      <c r="F2" s="2" t="s">
        <v>3</v>
      </c>
      <c r="G2" s="2" t="s">
        <v>4</v>
      </c>
      <c r="H2" s="2" t="s">
        <v>5</v>
      </c>
      <c r="I2" s="3" t="s">
        <v>26</v>
      </c>
      <c r="J2" s="3" t="s">
        <v>10</v>
      </c>
      <c r="K2" s="3" t="s">
        <v>3</v>
      </c>
      <c r="L2" s="3" t="s">
        <v>4</v>
      </c>
      <c r="M2" s="3" t="s">
        <v>5</v>
      </c>
      <c r="N2" s="1"/>
      <c r="O2" s="1"/>
      <c r="P2" s="1"/>
      <c r="Q2" s="1"/>
      <c r="R2" s="1"/>
      <c r="S2" s="10"/>
      <c r="T2" s="10"/>
      <c r="U2" s="10"/>
      <c r="V2" s="10"/>
      <c r="W2" s="10"/>
    </row>
    <row r="3" spans="1:23" x14ac:dyDescent="0.3">
      <c r="A3" s="6">
        <v>45717</v>
      </c>
      <c r="B3" s="7" t="s">
        <v>37</v>
      </c>
      <c r="C3" s="7">
        <v>60</v>
      </c>
      <c r="D3" s="2">
        <v>26.25</v>
      </c>
      <c r="E3" s="2">
        <v>0</v>
      </c>
      <c r="F3" s="2">
        <f>SUM(D3,E3)</f>
        <v>26.25</v>
      </c>
      <c r="G3" s="2">
        <f>PRODUCT(C3 * 18)/1000</f>
        <v>1.08</v>
      </c>
      <c r="H3" s="2">
        <v>0</v>
      </c>
      <c r="I3" s="3">
        <v>6.2949999999999999</v>
      </c>
      <c r="J3" s="3">
        <v>0</v>
      </c>
      <c r="K3" s="3">
        <f>SUM(I3,J3)</f>
        <v>6.2949999999999999</v>
      </c>
      <c r="L3" s="3">
        <v>0</v>
      </c>
      <c r="M3" s="3">
        <f>(K3-L3)</f>
        <v>6.2949999999999999</v>
      </c>
      <c r="N3" s="1"/>
      <c r="O3" s="1"/>
      <c r="P3" s="1"/>
      <c r="Q3" s="1"/>
      <c r="R3" s="1"/>
    </row>
    <row r="4" spans="1:23" x14ac:dyDescent="0.3">
      <c r="A4" s="6">
        <v>45718</v>
      </c>
      <c r="B4" s="7" t="s">
        <v>38</v>
      </c>
      <c r="C4" s="7">
        <v>0</v>
      </c>
      <c r="D4" s="2">
        <f>IF(ISNUMBER(VALUE(H3)),H3,0)</f>
        <v>0</v>
      </c>
      <c r="E4" s="2">
        <v>0</v>
      </c>
      <c r="F4" s="2">
        <f t="shared" ref="F4:F33" si="0">SUM(D4,E4)</f>
        <v>0</v>
      </c>
      <c r="G4" s="2">
        <f t="shared" ref="G4:G33" si="1">PRODUCT(C4 * 18)/1000</f>
        <v>0</v>
      </c>
      <c r="H4" s="2">
        <f>(F4-G4)</f>
        <v>0</v>
      </c>
      <c r="I4" s="3">
        <f>IF(ISNUMBER(VALUE(M3)),M3,0)</f>
        <v>6.2949999999999999</v>
      </c>
      <c r="J4" s="3">
        <v>0</v>
      </c>
      <c r="K4" s="3">
        <f t="shared" ref="K4:K33" si="2">SUM(I4,J4)</f>
        <v>6.2949999999999999</v>
      </c>
      <c r="L4" s="3">
        <f>PRODUCT(C4 * 5)/1000</f>
        <v>0</v>
      </c>
      <c r="M4" s="3">
        <f t="shared" ref="M4:M33" si="3">(K4-L4)</f>
        <v>6.2949999999999999</v>
      </c>
      <c r="N4" s="1"/>
      <c r="O4" s="1"/>
      <c r="P4" s="1"/>
      <c r="Q4" s="1"/>
      <c r="R4" s="1"/>
    </row>
    <row r="5" spans="1:23" x14ac:dyDescent="0.3">
      <c r="A5" s="6">
        <v>45719</v>
      </c>
      <c r="B5" s="7" t="s">
        <v>23</v>
      </c>
      <c r="C5" s="7">
        <v>111</v>
      </c>
      <c r="D5" s="2">
        <f t="shared" ref="D5:D33" si="4">IF(ISNUMBER(VALUE(H4)),H4,0)</f>
        <v>0</v>
      </c>
      <c r="E5" s="2">
        <v>0</v>
      </c>
      <c r="F5" s="2">
        <f t="shared" si="0"/>
        <v>0</v>
      </c>
      <c r="G5" s="2">
        <f t="shared" si="1"/>
        <v>1.998</v>
      </c>
      <c r="H5" s="2">
        <f t="shared" ref="H4:H33" si="5">(F5-G5)</f>
        <v>-1.998</v>
      </c>
      <c r="I5" s="3">
        <f t="shared" ref="I5:I33" si="6">IF(ISNUMBER(VALUE(M4)),M4,0)</f>
        <v>6.2949999999999999</v>
      </c>
      <c r="J5" s="3">
        <v>0</v>
      </c>
      <c r="K5" s="3">
        <f t="shared" si="2"/>
        <v>6.2949999999999999</v>
      </c>
      <c r="L5" s="3">
        <f t="shared" ref="L5:L33" si="7">PRODUCT(C5 * 5)/1000</f>
        <v>0.55500000000000005</v>
      </c>
      <c r="M5" s="3">
        <f t="shared" si="3"/>
        <v>5.74</v>
      </c>
      <c r="N5" s="1"/>
      <c r="O5" s="1"/>
      <c r="P5" s="1"/>
      <c r="Q5" s="1"/>
      <c r="R5" s="1"/>
    </row>
    <row r="6" spans="1:23" x14ac:dyDescent="0.3">
      <c r="A6" s="6">
        <v>45720</v>
      </c>
      <c r="B6" s="7" t="s">
        <v>24</v>
      </c>
      <c r="C6" s="7">
        <v>111</v>
      </c>
      <c r="D6" s="2">
        <f t="shared" si="4"/>
        <v>-1.998</v>
      </c>
      <c r="E6" s="2">
        <v>0</v>
      </c>
      <c r="F6" s="2">
        <f t="shared" si="0"/>
        <v>-1.998</v>
      </c>
      <c r="G6" s="2">
        <f t="shared" si="1"/>
        <v>1.998</v>
      </c>
      <c r="H6" s="2">
        <f t="shared" si="5"/>
        <v>-3.996</v>
      </c>
      <c r="I6" s="3">
        <f t="shared" si="6"/>
        <v>5.74</v>
      </c>
      <c r="J6" s="3">
        <v>0</v>
      </c>
      <c r="K6" s="3">
        <f t="shared" si="2"/>
        <v>5.74</v>
      </c>
      <c r="L6" s="3">
        <v>0.55500000000000005</v>
      </c>
      <c r="M6" s="3">
        <f t="shared" si="3"/>
        <v>5.1850000000000005</v>
      </c>
      <c r="N6" s="1"/>
      <c r="O6" s="1"/>
      <c r="P6" s="1"/>
      <c r="Q6" s="1"/>
      <c r="R6" s="1"/>
    </row>
    <row r="7" spans="1:23" x14ac:dyDescent="0.3">
      <c r="A7" s="6">
        <v>45721</v>
      </c>
      <c r="B7" s="7" t="s">
        <v>39</v>
      </c>
      <c r="C7" s="7">
        <v>106</v>
      </c>
      <c r="D7" s="2">
        <f t="shared" si="4"/>
        <v>-3.996</v>
      </c>
      <c r="E7" s="2">
        <v>0</v>
      </c>
      <c r="F7" s="2">
        <f t="shared" si="0"/>
        <v>-3.996</v>
      </c>
      <c r="G7" s="2">
        <f t="shared" si="1"/>
        <v>1.9079999999999999</v>
      </c>
      <c r="H7" s="2">
        <f t="shared" si="5"/>
        <v>-5.9039999999999999</v>
      </c>
      <c r="I7" s="3">
        <f t="shared" si="6"/>
        <v>5.1850000000000005</v>
      </c>
      <c r="J7" s="3">
        <v>0</v>
      </c>
      <c r="K7" s="3">
        <f t="shared" si="2"/>
        <v>5.1850000000000005</v>
      </c>
      <c r="L7" s="3">
        <f>PRODUCT(C7 * 5)/1000</f>
        <v>0.53</v>
      </c>
      <c r="M7" s="3">
        <f t="shared" si="3"/>
        <v>4.6550000000000002</v>
      </c>
      <c r="N7" s="1"/>
      <c r="O7" s="1"/>
      <c r="P7" s="1"/>
      <c r="Q7" s="1"/>
      <c r="R7" s="1"/>
    </row>
    <row r="8" spans="1:23" x14ac:dyDescent="0.3">
      <c r="A8" s="6">
        <v>45722</v>
      </c>
      <c r="B8" s="7" t="s">
        <v>40</v>
      </c>
      <c r="C8" s="7">
        <v>101</v>
      </c>
      <c r="D8" s="2">
        <f t="shared" si="4"/>
        <v>-5.9039999999999999</v>
      </c>
      <c r="E8" s="2">
        <v>0</v>
      </c>
      <c r="F8" s="2">
        <f t="shared" si="0"/>
        <v>-5.9039999999999999</v>
      </c>
      <c r="G8" s="2">
        <f t="shared" si="1"/>
        <v>1.8180000000000001</v>
      </c>
      <c r="H8" s="2">
        <f t="shared" si="5"/>
        <v>-7.7219999999999995</v>
      </c>
      <c r="I8" s="3">
        <f t="shared" si="6"/>
        <v>4.6550000000000002</v>
      </c>
      <c r="J8" s="3">
        <v>0</v>
      </c>
      <c r="K8" s="3">
        <f t="shared" si="2"/>
        <v>4.6550000000000002</v>
      </c>
      <c r="L8" s="3">
        <v>0</v>
      </c>
      <c r="M8" s="3">
        <f t="shared" si="3"/>
        <v>4.6550000000000002</v>
      </c>
      <c r="N8" s="1"/>
      <c r="O8" s="1"/>
      <c r="P8" s="1"/>
      <c r="Q8" s="1"/>
      <c r="R8" s="1"/>
    </row>
    <row r="9" spans="1:23" x14ac:dyDescent="0.3">
      <c r="A9" s="6">
        <v>45723</v>
      </c>
      <c r="B9" s="7" t="s">
        <v>41</v>
      </c>
      <c r="C9" s="7">
        <v>108</v>
      </c>
      <c r="D9" s="2">
        <f t="shared" si="4"/>
        <v>-7.7219999999999995</v>
      </c>
      <c r="E9" s="2">
        <v>0</v>
      </c>
      <c r="F9" s="2">
        <f t="shared" si="0"/>
        <v>-7.7219999999999995</v>
      </c>
      <c r="G9" s="2">
        <f t="shared" si="1"/>
        <v>1.944</v>
      </c>
      <c r="H9" s="2">
        <f t="shared" si="5"/>
        <v>-9.6660000000000004</v>
      </c>
      <c r="I9" s="3">
        <f t="shared" si="6"/>
        <v>4.6550000000000002</v>
      </c>
      <c r="J9" s="3">
        <v>0</v>
      </c>
      <c r="K9" s="3">
        <f t="shared" si="2"/>
        <v>4.6550000000000002</v>
      </c>
      <c r="L9" s="3">
        <v>0</v>
      </c>
      <c r="M9" s="3">
        <f t="shared" si="3"/>
        <v>4.6550000000000002</v>
      </c>
      <c r="N9" s="1"/>
      <c r="O9" s="1"/>
      <c r="P9" s="1"/>
      <c r="Q9" s="1"/>
      <c r="R9" s="1"/>
    </row>
    <row r="10" spans="1:23" x14ac:dyDescent="0.3">
      <c r="A10" s="6">
        <v>45724</v>
      </c>
      <c r="B10" s="7" t="s">
        <v>37</v>
      </c>
      <c r="D10" s="2">
        <f t="shared" si="4"/>
        <v>-9.6660000000000004</v>
      </c>
      <c r="E10" s="2">
        <v>0</v>
      </c>
      <c r="F10" s="2">
        <f t="shared" si="0"/>
        <v>-9.6660000000000004</v>
      </c>
      <c r="G10" s="2">
        <f t="shared" si="1"/>
        <v>0</v>
      </c>
      <c r="H10" s="2">
        <f t="shared" si="5"/>
        <v>-9.6660000000000004</v>
      </c>
      <c r="I10" s="3">
        <f t="shared" si="6"/>
        <v>4.6550000000000002</v>
      </c>
      <c r="J10" s="3">
        <v>0</v>
      </c>
      <c r="K10" s="3">
        <f t="shared" si="2"/>
        <v>4.6550000000000002</v>
      </c>
      <c r="L10" s="3">
        <f t="shared" si="7"/>
        <v>0</v>
      </c>
      <c r="M10" s="3">
        <f t="shared" si="3"/>
        <v>4.6550000000000002</v>
      </c>
      <c r="N10" s="1"/>
      <c r="O10" s="1"/>
      <c r="P10" s="1"/>
      <c r="Q10" s="1"/>
      <c r="R10" s="1"/>
    </row>
    <row r="11" spans="1:23" x14ac:dyDescent="0.3">
      <c r="A11" s="6">
        <v>45725</v>
      </c>
      <c r="B11" s="7" t="s">
        <v>38</v>
      </c>
      <c r="D11" s="2">
        <f t="shared" si="4"/>
        <v>-9.6660000000000004</v>
      </c>
      <c r="E11" s="2">
        <v>0</v>
      </c>
      <c r="F11" s="2">
        <f t="shared" si="0"/>
        <v>-9.6660000000000004</v>
      </c>
      <c r="G11" s="2">
        <f t="shared" si="1"/>
        <v>0</v>
      </c>
      <c r="H11" s="2">
        <f t="shared" si="5"/>
        <v>-9.6660000000000004</v>
      </c>
      <c r="I11" s="3">
        <f t="shared" si="6"/>
        <v>4.6550000000000002</v>
      </c>
      <c r="J11" s="3">
        <v>0</v>
      </c>
      <c r="K11" s="3">
        <f t="shared" si="2"/>
        <v>4.6550000000000002</v>
      </c>
      <c r="L11" s="3">
        <f t="shared" si="7"/>
        <v>0</v>
      </c>
      <c r="M11" s="3">
        <f t="shared" si="3"/>
        <v>4.6550000000000002</v>
      </c>
      <c r="N11" s="1"/>
      <c r="O11" s="1"/>
      <c r="P11" s="1"/>
      <c r="Q11" s="1"/>
      <c r="R11" s="1"/>
    </row>
    <row r="12" spans="1:23" x14ac:dyDescent="0.3">
      <c r="A12" s="6">
        <v>45726</v>
      </c>
      <c r="B12" s="7" t="s">
        <v>23</v>
      </c>
      <c r="D12" s="2">
        <f t="shared" si="4"/>
        <v>-9.6660000000000004</v>
      </c>
      <c r="E12" s="2">
        <v>0</v>
      </c>
      <c r="F12" s="2">
        <f t="shared" si="0"/>
        <v>-9.6660000000000004</v>
      </c>
      <c r="G12" s="2">
        <f t="shared" si="1"/>
        <v>0</v>
      </c>
      <c r="H12" s="2">
        <f t="shared" si="5"/>
        <v>-9.6660000000000004</v>
      </c>
      <c r="I12" s="3">
        <f t="shared" si="6"/>
        <v>4.6550000000000002</v>
      </c>
      <c r="J12" s="3">
        <v>0</v>
      </c>
      <c r="K12" s="3">
        <f t="shared" si="2"/>
        <v>4.6550000000000002</v>
      </c>
      <c r="L12" s="3">
        <f t="shared" si="7"/>
        <v>0</v>
      </c>
      <c r="M12" s="3">
        <f t="shared" si="3"/>
        <v>4.6550000000000002</v>
      </c>
      <c r="N12" s="1"/>
      <c r="O12" s="1"/>
      <c r="P12" s="1"/>
      <c r="Q12" s="1"/>
      <c r="R12" s="1"/>
    </row>
    <row r="13" spans="1:23" x14ac:dyDescent="0.3">
      <c r="A13" s="6">
        <v>45727</v>
      </c>
      <c r="B13" s="7" t="s">
        <v>24</v>
      </c>
      <c r="D13" s="2">
        <f t="shared" si="4"/>
        <v>-9.6660000000000004</v>
      </c>
      <c r="E13" s="2">
        <v>0</v>
      </c>
      <c r="F13" s="2">
        <f t="shared" si="0"/>
        <v>-9.6660000000000004</v>
      </c>
      <c r="G13" s="2">
        <f t="shared" si="1"/>
        <v>0</v>
      </c>
      <c r="H13" s="2">
        <f t="shared" si="5"/>
        <v>-9.6660000000000004</v>
      </c>
      <c r="I13" s="3">
        <f t="shared" si="6"/>
        <v>4.6550000000000002</v>
      </c>
      <c r="J13" s="3">
        <v>0</v>
      </c>
      <c r="K13" s="3">
        <f t="shared" si="2"/>
        <v>4.6550000000000002</v>
      </c>
      <c r="L13" s="3">
        <f t="shared" si="7"/>
        <v>0</v>
      </c>
      <c r="M13" s="3">
        <f t="shared" si="3"/>
        <v>4.6550000000000002</v>
      </c>
      <c r="N13" s="1"/>
      <c r="O13" s="1"/>
      <c r="P13" s="1"/>
      <c r="Q13" s="1"/>
      <c r="R13" s="1"/>
    </row>
    <row r="14" spans="1:23" x14ac:dyDescent="0.3">
      <c r="A14" s="6">
        <v>45728</v>
      </c>
      <c r="B14" s="7" t="s">
        <v>39</v>
      </c>
      <c r="D14" s="2">
        <f t="shared" si="4"/>
        <v>-9.6660000000000004</v>
      </c>
      <c r="E14" s="2">
        <v>0</v>
      </c>
      <c r="F14" s="2">
        <f t="shared" si="0"/>
        <v>-9.6660000000000004</v>
      </c>
      <c r="G14" s="2">
        <f t="shared" si="1"/>
        <v>0</v>
      </c>
      <c r="H14" s="2">
        <f t="shared" si="5"/>
        <v>-9.6660000000000004</v>
      </c>
      <c r="I14" s="3">
        <f t="shared" si="6"/>
        <v>4.6550000000000002</v>
      </c>
      <c r="J14" s="3">
        <v>0</v>
      </c>
      <c r="K14" s="3">
        <f t="shared" si="2"/>
        <v>4.6550000000000002</v>
      </c>
      <c r="L14" s="3">
        <f t="shared" si="7"/>
        <v>0</v>
      </c>
      <c r="M14" s="3">
        <f t="shared" si="3"/>
        <v>4.6550000000000002</v>
      </c>
      <c r="N14" s="1"/>
      <c r="O14" s="1"/>
      <c r="P14" s="1"/>
      <c r="Q14" s="1"/>
      <c r="R14" s="1"/>
    </row>
    <row r="15" spans="1:23" x14ac:dyDescent="0.3">
      <c r="A15" s="6">
        <v>45729</v>
      </c>
      <c r="B15" s="7" t="s">
        <v>40</v>
      </c>
      <c r="D15" s="2">
        <f t="shared" si="4"/>
        <v>-9.6660000000000004</v>
      </c>
      <c r="E15" s="2">
        <v>0</v>
      </c>
      <c r="F15" s="2">
        <f t="shared" si="0"/>
        <v>-9.6660000000000004</v>
      </c>
      <c r="G15" s="2">
        <f t="shared" si="1"/>
        <v>0</v>
      </c>
      <c r="H15" s="2">
        <f t="shared" si="5"/>
        <v>-9.6660000000000004</v>
      </c>
      <c r="I15" s="3">
        <f t="shared" si="6"/>
        <v>4.6550000000000002</v>
      </c>
      <c r="J15" s="3">
        <v>0</v>
      </c>
      <c r="K15" s="3">
        <f t="shared" si="2"/>
        <v>4.6550000000000002</v>
      </c>
      <c r="L15" s="3">
        <f t="shared" si="7"/>
        <v>0</v>
      </c>
      <c r="M15" s="3">
        <f t="shared" si="3"/>
        <v>4.6550000000000002</v>
      </c>
      <c r="N15" s="1"/>
      <c r="O15" s="1"/>
      <c r="P15" s="1"/>
      <c r="Q15" s="1"/>
      <c r="R15" s="1"/>
    </row>
    <row r="16" spans="1:23" x14ac:dyDescent="0.3">
      <c r="A16" s="6">
        <v>45730</v>
      </c>
      <c r="B16" s="7" t="s">
        <v>41</v>
      </c>
      <c r="D16" s="2">
        <f t="shared" si="4"/>
        <v>-9.6660000000000004</v>
      </c>
      <c r="E16" s="2">
        <v>0</v>
      </c>
      <c r="F16" s="2">
        <f t="shared" si="0"/>
        <v>-9.6660000000000004</v>
      </c>
      <c r="G16" s="2">
        <f t="shared" si="1"/>
        <v>0</v>
      </c>
      <c r="H16" s="2">
        <f t="shared" si="5"/>
        <v>-9.6660000000000004</v>
      </c>
      <c r="I16" s="3">
        <f t="shared" si="6"/>
        <v>4.6550000000000002</v>
      </c>
      <c r="J16" s="3">
        <v>0</v>
      </c>
      <c r="K16" s="3">
        <f t="shared" si="2"/>
        <v>4.6550000000000002</v>
      </c>
      <c r="L16" s="3">
        <f t="shared" si="7"/>
        <v>0</v>
      </c>
      <c r="M16" s="3">
        <f t="shared" si="3"/>
        <v>4.6550000000000002</v>
      </c>
      <c r="N16" s="1"/>
      <c r="O16" s="1"/>
      <c r="P16" s="1"/>
      <c r="Q16" s="1"/>
      <c r="R16" s="1"/>
    </row>
    <row r="17" spans="1:18" x14ac:dyDescent="0.3">
      <c r="A17" s="6">
        <v>45731</v>
      </c>
      <c r="B17" s="7" t="s">
        <v>37</v>
      </c>
      <c r="D17" s="2">
        <f t="shared" si="4"/>
        <v>-9.6660000000000004</v>
      </c>
      <c r="E17" s="2">
        <v>0</v>
      </c>
      <c r="F17" s="2">
        <f t="shared" si="0"/>
        <v>-9.6660000000000004</v>
      </c>
      <c r="G17" s="2">
        <f t="shared" si="1"/>
        <v>0</v>
      </c>
      <c r="H17" s="2">
        <f t="shared" si="5"/>
        <v>-9.6660000000000004</v>
      </c>
      <c r="I17" s="3">
        <f t="shared" si="6"/>
        <v>4.6550000000000002</v>
      </c>
      <c r="J17" s="3">
        <v>0</v>
      </c>
      <c r="K17" s="3">
        <f t="shared" si="2"/>
        <v>4.6550000000000002</v>
      </c>
      <c r="L17" s="3">
        <f t="shared" si="7"/>
        <v>0</v>
      </c>
      <c r="M17" s="3">
        <f t="shared" si="3"/>
        <v>4.6550000000000002</v>
      </c>
      <c r="N17" s="1"/>
      <c r="O17" s="1"/>
      <c r="P17" s="1"/>
      <c r="Q17" s="1"/>
      <c r="R17" s="1"/>
    </row>
    <row r="18" spans="1:18" x14ac:dyDescent="0.3">
      <c r="A18" s="6">
        <v>45732</v>
      </c>
      <c r="B18" s="7" t="s">
        <v>38</v>
      </c>
      <c r="D18" s="2">
        <f t="shared" si="4"/>
        <v>-9.6660000000000004</v>
      </c>
      <c r="E18" s="2">
        <v>0</v>
      </c>
      <c r="F18" s="2">
        <f t="shared" si="0"/>
        <v>-9.6660000000000004</v>
      </c>
      <c r="G18" s="2">
        <f t="shared" si="1"/>
        <v>0</v>
      </c>
      <c r="H18" s="2">
        <f t="shared" si="5"/>
        <v>-9.6660000000000004</v>
      </c>
      <c r="I18" s="3">
        <f t="shared" si="6"/>
        <v>4.6550000000000002</v>
      </c>
      <c r="J18" s="3">
        <v>0</v>
      </c>
      <c r="K18" s="3">
        <f t="shared" si="2"/>
        <v>4.6550000000000002</v>
      </c>
      <c r="L18" s="3">
        <f t="shared" si="7"/>
        <v>0</v>
      </c>
      <c r="M18" s="3">
        <f t="shared" si="3"/>
        <v>4.6550000000000002</v>
      </c>
      <c r="N18" s="1"/>
      <c r="O18" s="1"/>
      <c r="P18" s="1"/>
      <c r="Q18" s="1"/>
      <c r="R18" s="1"/>
    </row>
    <row r="19" spans="1:18" x14ac:dyDescent="0.3">
      <c r="A19" s="6">
        <v>45733</v>
      </c>
      <c r="B19" s="7" t="s">
        <v>23</v>
      </c>
      <c r="D19" s="2">
        <f t="shared" si="4"/>
        <v>-9.6660000000000004</v>
      </c>
      <c r="E19" s="2">
        <v>0</v>
      </c>
      <c r="F19" s="2">
        <f t="shared" si="0"/>
        <v>-9.6660000000000004</v>
      </c>
      <c r="G19" s="2">
        <f t="shared" si="1"/>
        <v>0</v>
      </c>
      <c r="H19" s="2">
        <f t="shared" si="5"/>
        <v>-9.6660000000000004</v>
      </c>
      <c r="I19" s="3">
        <f t="shared" si="6"/>
        <v>4.6550000000000002</v>
      </c>
      <c r="J19" s="3">
        <v>0</v>
      </c>
      <c r="K19" s="3">
        <f t="shared" si="2"/>
        <v>4.6550000000000002</v>
      </c>
      <c r="L19" s="3">
        <f t="shared" si="7"/>
        <v>0</v>
      </c>
      <c r="M19" s="3">
        <f t="shared" si="3"/>
        <v>4.6550000000000002</v>
      </c>
      <c r="N19" s="1"/>
      <c r="O19" s="1"/>
      <c r="P19" s="1"/>
      <c r="Q19" s="1"/>
      <c r="R19" s="1"/>
    </row>
    <row r="20" spans="1:18" x14ac:dyDescent="0.3">
      <c r="A20" s="6">
        <v>45734</v>
      </c>
      <c r="B20" s="7" t="s">
        <v>24</v>
      </c>
      <c r="D20" s="2">
        <f t="shared" si="4"/>
        <v>-9.6660000000000004</v>
      </c>
      <c r="E20" s="2">
        <v>0</v>
      </c>
      <c r="F20" s="2">
        <f t="shared" si="0"/>
        <v>-9.6660000000000004</v>
      </c>
      <c r="G20" s="2">
        <f t="shared" si="1"/>
        <v>0</v>
      </c>
      <c r="H20" s="2">
        <f t="shared" si="5"/>
        <v>-9.6660000000000004</v>
      </c>
      <c r="I20" s="3">
        <f t="shared" si="6"/>
        <v>4.6550000000000002</v>
      </c>
      <c r="J20" s="3">
        <v>0</v>
      </c>
      <c r="K20" s="3">
        <f t="shared" si="2"/>
        <v>4.6550000000000002</v>
      </c>
      <c r="L20" s="3">
        <f t="shared" si="7"/>
        <v>0</v>
      </c>
      <c r="M20" s="3">
        <f t="shared" si="3"/>
        <v>4.6550000000000002</v>
      </c>
      <c r="N20" s="1"/>
      <c r="O20" s="1"/>
      <c r="P20" s="1"/>
      <c r="Q20" s="1"/>
      <c r="R20" s="1"/>
    </row>
    <row r="21" spans="1:18" x14ac:dyDescent="0.3">
      <c r="A21" s="6">
        <v>45735</v>
      </c>
      <c r="B21" s="7" t="s">
        <v>39</v>
      </c>
      <c r="D21" s="2">
        <f t="shared" si="4"/>
        <v>-9.6660000000000004</v>
      </c>
      <c r="E21" s="2">
        <v>0</v>
      </c>
      <c r="F21" s="2">
        <f t="shared" si="0"/>
        <v>-9.6660000000000004</v>
      </c>
      <c r="G21" s="2">
        <f t="shared" si="1"/>
        <v>0</v>
      </c>
      <c r="H21" s="2">
        <f t="shared" si="5"/>
        <v>-9.6660000000000004</v>
      </c>
      <c r="I21" s="3">
        <f t="shared" si="6"/>
        <v>4.6550000000000002</v>
      </c>
      <c r="J21" s="3">
        <v>0</v>
      </c>
      <c r="K21" s="3">
        <f t="shared" si="2"/>
        <v>4.6550000000000002</v>
      </c>
      <c r="L21" s="3">
        <f t="shared" si="7"/>
        <v>0</v>
      </c>
      <c r="M21" s="3">
        <f t="shared" si="3"/>
        <v>4.6550000000000002</v>
      </c>
      <c r="N21" s="1"/>
      <c r="O21" s="1"/>
      <c r="P21" s="1"/>
      <c r="Q21" s="1"/>
      <c r="R21" s="1"/>
    </row>
    <row r="22" spans="1:18" x14ac:dyDescent="0.3">
      <c r="A22" s="6">
        <v>45736</v>
      </c>
      <c r="B22" s="7" t="s">
        <v>40</v>
      </c>
      <c r="D22" s="2">
        <f t="shared" si="4"/>
        <v>-9.6660000000000004</v>
      </c>
      <c r="E22" s="2">
        <v>0</v>
      </c>
      <c r="F22" s="2">
        <f t="shared" si="0"/>
        <v>-9.6660000000000004</v>
      </c>
      <c r="G22" s="2">
        <f t="shared" si="1"/>
        <v>0</v>
      </c>
      <c r="H22" s="2">
        <f t="shared" si="5"/>
        <v>-9.6660000000000004</v>
      </c>
      <c r="I22" s="3">
        <f t="shared" si="6"/>
        <v>4.6550000000000002</v>
      </c>
      <c r="J22" s="3">
        <v>0</v>
      </c>
      <c r="K22" s="3">
        <f t="shared" si="2"/>
        <v>4.6550000000000002</v>
      </c>
      <c r="L22" s="3">
        <f t="shared" si="7"/>
        <v>0</v>
      </c>
      <c r="M22" s="3">
        <f t="shared" si="3"/>
        <v>4.6550000000000002</v>
      </c>
      <c r="N22" s="1"/>
      <c r="O22" s="1"/>
      <c r="P22" s="1"/>
      <c r="Q22" s="1"/>
      <c r="R22" s="1"/>
    </row>
    <row r="23" spans="1:18" x14ac:dyDescent="0.3">
      <c r="A23" s="6">
        <v>45737</v>
      </c>
      <c r="B23" s="7" t="s">
        <v>41</v>
      </c>
      <c r="D23" s="2">
        <f t="shared" si="4"/>
        <v>-9.6660000000000004</v>
      </c>
      <c r="E23" s="2">
        <v>0</v>
      </c>
      <c r="F23" s="2">
        <f t="shared" si="0"/>
        <v>-9.6660000000000004</v>
      </c>
      <c r="G23" s="2">
        <f t="shared" si="1"/>
        <v>0</v>
      </c>
      <c r="H23" s="2">
        <f t="shared" si="5"/>
        <v>-9.6660000000000004</v>
      </c>
      <c r="I23" s="3">
        <f t="shared" si="6"/>
        <v>4.6550000000000002</v>
      </c>
      <c r="J23" s="3">
        <v>0</v>
      </c>
      <c r="K23" s="3">
        <f t="shared" si="2"/>
        <v>4.6550000000000002</v>
      </c>
      <c r="L23" s="3">
        <f t="shared" si="7"/>
        <v>0</v>
      </c>
      <c r="M23" s="3">
        <f t="shared" si="3"/>
        <v>4.6550000000000002</v>
      </c>
      <c r="N23" s="1"/>
      <c r="O23" s="1"/>
      <c r="P23" s="1"/>
      <c r="Q23" s="1"/>
      <c r="R23" s="1"/>
    </row>
    <row r="24" spans="1:18" x14ac:dyDescent="0.3">
      <c r="A24" s="6">
        <v>45738</v>
      </c>
      <c r="B24" s="7" t="s">
        <v>37</v>
      </c>
      <c r="D24" s="2">
        <f t="shared" si="4"/>
        <v>-9.6660000000000004</v>
      </c>
      <c r="E24" s="2">
        <v>0</v>
      </c>
      <c r="F24" s="2">
        <f t="shared" si="0"/>
        <v>-9.6660000000000004</v>
      </c>
      <c r="G24" s="2">
        <f t="shared" si="1"/>
        <v>0</v>
      </c>
      <c r="H24" s="2">
        <f t="shared" si="5"/>
        <v>-9.6660000000000004</v>
      </c>
      <c r="I24" s="3">
        <f t="shared" si="6"/>
        <v>4.6550000000000002</v>
      </c>
      <c r="J24" s="3">
        <v>0</v>
      </c>
      <c r="K24" s="3">
        <f t="shared" si="2"/>
        <v>4.6550000000000002</v>
      </c>
      <c r="L24" s="3">
        <f t="shared" si="7"/>
        <v>0</v>
      </c>
      <c r="M24" s="3">
        <f t="shared" si="3"/>
        <v>4.6550000000000002</v>
      </c>
      <c r="N24" s="1"/>
      <c r="O24" s="1"/>
      <c r="P24" s="1"/>
      <c r="Q24" s="1"/>
      <c r="R24" s="1"/>
    </row>
    <row r="25" spans="1:18" x14ac:dyDescent="0.3">
      <c r="A25" s="6">
        <v>45739</v>
      </c>
      <c r="B25" s="7" t="s">
        <v>38</v>
      </c>
      <c r="D25" s="2">
        <f t="shared" si="4"/>
        <v>-9.6660000000000004</v>
      </c>
      <c r="E25" s="2">
        <v>0</v>
      </c>
      <c r="F25" s="2">
        <f t="shared" si="0"/>
        <v>-9.6660000000000004</v>
      </c>
      <c r="G25" s="2">
        <f t="shared" si="1"/>
        <v>0</v>
      </c>
      <c r="H25" s="2">
        <f t="shared" si="5"/>
        <v>-9.6660000000000004</v>
      </c>
      <c r="I25" s="3">
        <f t="shared" si="6"/>
        <v>4.6550000000000002</v>
      </c>
      <c r="J25" s="3">
        <v>0</v>
      </c>
      <c r="K25" s="3">
        <f t="shared" si="2"/>
        <v>4.6550000000000002</v>
      </c>
      <c r="L25" s="3">
        <f t="shared" si="7"/>
        <v>0</v>
      </c>
      <c r="M25" s="3">
        <f t="shared" si="3"/>
        <v>4.6550000000000002</v>
      </c>
      <c r="N25" s="1"/>
      <c r="O25" s="1"/>
      <c r="P25" s="1"/>
      <c r="Q25" s="1"/>
      <c r="R25" s="1"/>
    </row>
    <row r="26" spans="1:18" x14ac:dyDescent="0.3">
      <c r="A26" s="6">
        <v>45740</v>
      </c>
      <c r="B26" s="7" t="s">
        <v>23</v>
      </c>
      <c r="D26" s="2">
        <f t="shared" si="4"/>
        <v>-9.6660000000000004</v>
      </c>
      <c r="E26" s="2">
        <v>0</v>
      </c>
      <c r="F26" s="2">
        <f t="shared" si="0"/>
        <v>-9.6660000000000004</v>
      </c>
      <c r="G26" s="2">
        <f t="shared" si="1"/>
        <v>0</v>
      </c>
      <c r="H26" s="2">
        <f t="shared" si="5"/>
        <v>-9.6660000000000004</v>
      </c>
      <c r="I26" s="3">
        <f t="shared" si="6"/>
        <v>4.6550000000000002</v>
      </c>
      <c r="J26" s="3">
        <v>0</v>
      </c>
      <c r="K26" s="3">
        <f t="shared" si="2"/>
        <v>4.6550000000000002</v>
      </c>
      <c r="L26" s="3">
        <f t="shared" si="7"/>
        <v>0</v>
      </c>
      <c r="M26" s="3">
        <f t="shared" si="3"/>
        <v>4.6550000000000002</v>
      </c>
      <c r="N26" s="1"/>
      <c r="O26" s="1"/>
      <c r="P26" s="1"/>
      <c r="Q26" s="1"/>
      <c r="R26" s="1"/>
    </row>
    <row r="27" spans="1:18" x14ac:dyDescent="0.3">
      <c r="A27" s="6">
        <v>45741</v>
      </c>
      <c r="B27" s="7" t="s">
        <v>24</v>
      </c>
      <c r="D27" s="2">
        <f t="shared" si="4"/>
        <v>-9.6660000000000004</v>
      </c>
      <c r="E27" s="2">
        <v>0</v>
      </c>
      <c r="F27" s="2">
        <f t="shared" si="0"/>
        <v>-9.6660000000000004</v>
      </c>
      <c r="G27" s="2">
        <f t="shared" si="1"/>
        <v>0</v>
      </c>
      <c r="H27" s="2">
        <f t="shared" si="5"/>
        <v>-9.6660000000000004</v>
      </c>
      <c r="I27" s="3">
        <f t="shared" si="6"/>
        <v>4.6550000000000002</v>
      </c>
      <c r="J27" s="3">
        <v>0</v>
      </c>
      <c r="K27" s="3">
        <f t="shared" si="2"/>
        <v>4.6550000000000002</v>
      </c>
      <c r="L27" s="3">
        <f t="shared" si="7"/>
        <v>0</v>
      </c>
      <c r="M27" s="3">
        <f t="shared" si="3"/>
        <v>4.6550000000000002</v>
      </c>
      <c r="N27" s="1"/>
      <c r="O27" s="1"/>
      <c r="P27" s="1"/>
      <c r="Q27" s="1"/>
      <c r="R27" s="1"/>
    </row>
    <row r="28" spans="1:18" x14ac:dyDescent="0.3">
      <c r="A28" s="6">
        <v>45742</v>
      </c>
      <c r="B28" s="7" t="s">
        <v>39</v>
      </c>
      <c r="D28" s="2">
        <f t="shared" si="4"/>
        <v>-9.6660000000000004</v>
      </c>
      <c r="E28" s="2">
        <v>0</v>
      </c>
      <c r="F28" s="2">
        <f t="shared" si="0"/>
        <v>-9.6660000000000004</v>
      </c>
      <c r="G28" s="2">
        <f t="shared" si="1"/>
        <v>0</v>
      </c>
      <c r="H28" s="2">
        <f t="shared" si="5"/>
        <v>-9.6660000000000004</v>
      </c>
      <c r="I28" s="3">
        <f t="shared" si="6"/>
        <v>4.6550000000000002</v>
      </c>
      <c r="J28" s="3">
        <v>0</v>
      </c>
      <c r="K28" s="3">
        <f t="shared" si="2"/>
        <v>4.6550000000000002</v>
      </c>
      <c r="L28" s="3">
        <f t="shared" si="7"/>
        <v>0</v>
      </c>
      <c r="M28" s="3">
        <f t="shared" si="3"/>
        <v>4.6550000000000002</v>
      </c>
      <c r="N28" s="1"/>
      <c r="O28" s="1"/>
      <c r="P28" s="1"/>
      <c r="Q28" s="1"/>
      <c r="R28" s="1"/>
    </row>
    <row r="29" spans="1:18" x14ac:dyDescent="0.3">
      <c r="A29" s="6">
        <v>45743</v>
      </c>
      <c r="B29" s="7" t="s">
        <v>40</v>
      </c>
      <c r="D29" s="2">
        <f t="shared" si="4"/>
        <v>-9.6660000000000004</v>
      </c>
      <c r="E29" s="2">
        <v>0</v>
      </c>
      <c r="F29" s="2">
        <f t="shared" si="0"/>
        <v>-9.6660000000000004</v>
      </c>
      <c r="G29" s="2">
        <f t="shared" si="1"/>
        <v>0</v>
      </c>
      <c r="H29" s="2">
        <f t="shared" si="5"/>
        <v>-9.6660000000000004</v>
      </c>
      <c r="I29" s="3">
        <f t="shared" si="6"/>
        <v>4.6550000000000002</v>
      </c>
      <c r="J29" s="3">
        <v>0</v>
      </c>
      <c r="K29" s="3">
        <f t="shared" si="2"/>
        <v>4.6550000000000002</v>
      </c>
      <c r="L29" s="3">
        <f t="shared" si="7"/>
        <v>0</v>
      </c>
      <c r="M29" s="3">
        <f t="shared" si="3"/>
        <v>4.6550000000000002</v>
      </c>
      <c r="N29" s="1"/>
      <c r="O29" s="1"/>
      <c r="P29" s="1"/>
      <c r="Q29" s="1"/>
      <c r="R29" s="1"/>
    </row>
    <row r="30" spans="1:18" x14ac:dyDescent="0.3">
      <c r="A30" s="6">
        <v>45744</v>
      </c>
      <c r="B30" s="7" t="s">
        <v>41</v>
      </c>
      <c r="D30" s="2">
        <f t="shared" si="4"/>
        <v>-9.6660000000000004</v>
      </c>
      <c r="E30" s="2">
        <v>0</v>
      </c>
      <c r="F30" s="2">
        <f t="shared" si="0"/>
        <v>-9.6660000000000004</v>
      </c>
      <c r="G30" s="2">
        <f t="shared" si="1"/>
        <v>0</v>
      </c>
      <c r="H30" s="2">
        <f t="shared" si="5"/>
        <v>-9.6660000000000004</v>
      </c>
      <c r="I30" s="3">
        <f t="shared" si="6"/>
        <v>4.6550000000000002</v>
      </c>
      <c r="J30" s="3">
        <v>0</v>
      </c>
      <c r="K30" s="3">
        <f t="shared" si="2"/>
        <v>4.6550000000000002</v>
      </c>
      <c r="L30" s="3">
        <f t="shared" si="7"/>
        <v>0</v>
      </c>
      <c r="M30" s="3">
        <f t="shared" si="3"/>
        <v>4.6550000000000002</v>
      </c>
      <c r="N30" s="1"/>
      <c r="O30" s="1"/>
      <c r="P30" s="1"/>
      <c r="Q30" s="1"/>
      <c r="R30" s="1"/>
    </row>
    <row r="31" spans="1:18" x14ac:dyDescent="0.3">
      <c r="A31" s="6">
        <v>45745</v>
      </c>
      <c r="B31" s="7" t="s">
        <v>37</v>
      </c>
      <c r="D31" s="2">
        <f t="shared" si="4"/>
        <v>-9.6660000000000004</v>
      </c>
      <c r="E31" s="2">
        <v>0</v>
      </c>
      <c r="F31" s="2">
        <f t="shared" si="0"/>
        <v>-9.6660000000000004</v>
      </c>
      <c r="G31" s="2">
        <f t="shared" si="1"/>
        <v>0</v>
      </c>
      <c r="H31" s="2">
        <f t="shared" si="5"/>
        <v>-9.6660000000000004</v>
      </c>
      <c r="I31" s="3">
        <f t="shared" si="6"/>
        <v>4.6550000000000002</v>
      </c>
      <c r="J31" s="3">
        <v>0</v>
      </c>
      <c r="K31" s="3">
        <f t="shared" si="2"/>
        <v>4.6550000000000002</v>
      </c>
      <c r="L31" s="3">
        <f t="shared" si="7"/>
        <v>0</v>
      </c>
      <c r="M31" s="3">
        <f t="shared" si="3"/>
        <v>4.6550000000000002</v>
      </c>
      <c r="N31" s="1"/>
      <c r="O31" s="1"/>
      <c r="P31" s="1"/>
      <c r="Q31" s="1"/>
      <c r="R31" s="1"/>
    </row>
    <row r="32" spans="1:18" x14ac:dyDescent="0.3">
      <c r="A32" s="6">
        <v>45746</v>
      </c>
      <c r="B32" s="7" t="s">
        <v>38</v>
      </c>
      <c r="D32" s="2">
        <f t="shared" si="4"/>
        <v>-9.6660000000000004</v>
      </c>
      <c r="E32" s="2">
        <v>0</v>
      </c>
      <c r="F32" s="2">
        <f t="shared" si="0"/>
        <v>-9.6660000000000004</v>
      </c>
      <c r="G32" s="2">
        <f t="shared" si="1"/>
        <v>0</v>
      </c>
      <c r="H32" s="2">
        <f t="shared" si="5"/>
        <v>-9.6660000000000004</v>
      </c>
      <c r="I32" s="3">
        <f t="shared" si="6"/>
        <v>4.6550000000000002</v>
      </c>
      <c r="J32" s="3">
        <v>0</v>
      </c>
      <c r="K32" s="3">
        <f t="shared" si="2"/>
        <v>4.6550000000000002</v>
      </c>
      <c r="L32" s="3">
        <f t="shared" si="7"/>
        <v>0</v>
      </c>
      <c r="M32" s="3">
        <f t="shared" si="3"/>
        <v>4.6550000000000002</v>
      </c>
      <c r="N32" s="1"/>
      <c r="O32" s="1"/>
      <c r="P32" s="1"/>
      <c r="Q32" s="1"/>
      <c r="R32" s="1"/>
    </row>
    <row r="33" spans="1:18" x14ac:dyDescent="0.3">
      <c r="A33" s="6">
        <v>45747</v>
      </c>
      <c r="B33" s="7" t="s">
        <v>23</v>
      </c>
      <c r="D33" s="2">
        <f t="shared" si="4"/>
        <v>-9.6660000000000004</v>
      </c>
      <c r="E33" s="2">
        <v>0</v>
      </c>
      <c r="F33" s="2">
        <f t="shared" si="0"/>
        <v>-9.6660000000000004</v>
      </c>
      <c r="G33" s="2">
        <f t="shared" si="1"/>
        <v>0</v>
      </c>
      <c r="H33" s="2">
        <f t="shared" si="5"/>
        <v>-9.6660000000000004</v>
      </c>
      <c r="I33" s="3">
        <f t="shared" si="6"/>
        <v>4.6550000000000002</v>
      </c>
      <c r="J33" s="3">
        <v>0</v>
      </c>
      <c r="K33" s="3">
        <f t="shared" si="2"/>
        <v>4.6550000000000002</v>
      </c>
      <c r="L33" s="3">
        <f t="shared" si="7"/>
        <v>0</v>
      </c>
      <c r="M33" s="3">
        <f t="shared" si="3"/>
        <v>4.6550000000000002</v>
      </c>
      <c r="N33" s="1"/>
      <c r="O33" s="1"/>
      <c r="P33" s="1"/>
      <c r="Q33" s="1"/>
      <c r="R33" s="1"/>
    </row>
  </sheetData>
  <autoFilter ref="A1:M33" xr:uid="{00000000-0001-0000-0200-000000000000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</autoFilter>
  <mergeCells count="6">
    <mergeCell ref="S1:W1"/>
    <mergeCell ref="A1:A2"/>
    <mergeCell ref="B1:B2"/>
    <mergeCell ref="C1:C2"/>
    <mergeCell ref="D1:H1"/>
    <mergeCell ref="I1:M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6F0-4724-4C98-BD40-1D2BF4AC7DC9}">
  <dimension ref="A1:V34"/>
  <sheetViews>
    <sheetView topLeftCell="B15" zoomScale="112" zoomScaleNormal="112" workbookViewId="0">
      <selection activeCell="D20" sqref="D20"/>
    </sheetView>
  </sheetViews>
  <sheetFormatPr defaultColWidth="8.88671875" defaultRowHeight="14.4" x14ac:dyDescent="0.3"/>
  <cols>
    <col min="1" max="1" width="10.6640625" style="1" customWidth="1"/>
    <col min="2" max="2" width="10.44140625" style="1" bestFit="1" customWidth="1"/>
    <col min="3" max="3" width="11.5546875" style="16" customWidth="1"/>
    <col min="4" max="4" width="10.44140625" style="14" bestFit="1" customWidth="1"/>
    <col min="5" max="5" width="6.33203125" style="14" bestFit="1" customWidth="1"/>
    <col min="6" max="6" width="7" style="14" bestFit="1" customWidth="1"/>
    <col min="7" max="7" width="11.33203125" style="14" bestFit="1" customWidth="1"/>
    <col min="8" max="8" width="8.33203125" style="14" customWidth="1"/>
    <col min="9" max="9" width="6.33203125" style="16" customWidth="1"/>
    <col min="10" max="10" width="7.88671875" style="16" customWidth="1"/>
    <col min="11" max="11" width="6.6640625" style="16" customWidth="1"/>
    <col min="12" max="12" width="8" style="8" customWidth="1"/>
    <col min="13" max="13" width="6.33203125" style="8" bestFit="1" customWidth="1"/>
    <col min="14" max="14" width="7.6640625" style="8" customWidth="1"/>
    <col min="15" max="15" width="8.6640625" style="8" customWidth="1"/>
    <col min="16" max="16" width="8.44140625" style="8" customWidth="1"/>
    <col min="17" max="17" width="7.44140625" style="17" customWidth="1"/>
    <col min="18" max="18" width="8.109375" style="11" bestFit="1" customWidth="1"/>
    <col min="19" max="19" width="6.33203125" style="11" bestFit="1" customWidth="1"/>
    <col min="20" max="20" width="6.6640625" style="11" customWidth="1"/>
    <col min="21" max="21" width="11.33203125" style="11" bestFit="1" customWidth="1"/>
    <col min="22" max="22" width="8.109375" style="11" customWidth="1"/>
    <col min="23" max="16384" width="8.88671875" style="1"/>
  </cols>
  <sheetData>
    <row r="1" spans="1:22" x14ac:dyDescent="0.3">
      <c r="A1" s="18" t="s">
        <v>0</v>
      </c>
      <c r="B1" s="18" t="s">
        <v>6</v>
      </c>
      <c r="C1" s="19" t="s">
        <v>34</v>
      </c>
      <c r="D1" s="20" t="s">
        <v>48</v>
      </c>
      <c r="E1" s="20"/>
      <c r="F1" s="20"/>
      <c r="G1" s="20"/>
      <c r="H1" s="20"/>
      <c r="I1" s="19" t="s">
        <v>35</v>
      </c>
      <c r="J1" s="19" t="s">
        <v>33</v>
      </c>
      <c r="K1" s="23" t="s">
        <v>22</v>
      </c>
      <c r="L1" s="21" t="s">
        <v>47</v>
      </c>
      <c r="M1" s="21"/>
      <c r="N1" s="21"/>
      <c r="O1" s="21"/>
      <c r="P1" s="21"/>
      <c r="Q1" s="25" t="s">
        <v>36</v>
      </c>
      <c r="R1" s="22" t="s">
        <v>29</v>
      </c>
      <c r="S1" s="22"/>
      <c r="T1" s="22"/>
      <c r="U1" s="22"/>
      <c r="V1" s="22"/>
    </row>
    <row r="2" spans="1:22" x14ac:dyDescent="0.3">
      <c r="A2" s="18"/>
      <c r="B2" s="18"/>
      <c r="C2" s="19"/>
      <c r="D2" s="14" t="s">
        <v>26</v>
      </c>
      <c r="E2" s="14" t="s">
        <v>10</v>
      </c>
      <c r="F2" s="14" t="s">
        <v>3</v>
      </c>
      <c r="G2" s="14" t="s">
        <v>4</v>
      </c>
      <c r="H2" s="14" t="s">
        <v>5</v>
      </c>
      <c r="I2" s="19"/>
      <c r="J2" s="19"/>
      <c r="K2" s="24"/>
      <c r="L2" s="8" t="s">
        <v>26</v>
      </c>
      <c r="M2" s="8" t="s">
        <v>10</v>
      </c>
      <c r="N2" s="8" t="s">
        <v>3</v>
      </c>
      <c r="O2" s="8" t="s">
        <v>4</v>
      </c>
      <c r="P2" s="8" t="s">
        <v>5</v>
      </c>
      <c r="Q2" s="26"/>
      <c r="R2" s="11" t="s">
        <v>26</v>
      </c>
      <c r="S2" s="11" t="s">
        <v>10</v>
      </c>
      <c r="T2" s="11" t="s">
        <v>3</v>
      </c>
      <c r="U2" s="11" t="s">
        <v>4</v>
      </c>
      <c r="V2" s="11" t="s">
        <v>5</v>
      </c>
    </row>
    <row r="3" spans="1:22" x14ac:dyDescent="0.3">
      <c r="A3" s="6">
        <v>46266</v>
      </c>
      <c r="B3" s="7" t="s">
        <v>49</v>
      </c>
      <c r="C3" s="16">
        <v>20</v>
      </c>
      <c r="D3" s="14">
        <v>22091.89</v>
      </c>
      <c r="E3" s="14">
        <v>0</v>
      </c>
      <c r="F3" s="14">
        <f>SUM(D3,E3)</f>
        <v>22091.89</v>
      </c>
      <c r="G3" s="14">
        <f>PRODUCT(C3 * 3.55)</f>
        <v>71</v>
      </c>
      <c r="H3" s="14">
        <f>(F3-G3)</f>
        <v>22020.89</v>
      </c>
      <c r="I3" s="16">
        <v>35</v>
      </c>
      <c r="J3" s="16">
        <v>50</v>
      </c>
      <c r="K3" s="16">
        <f>I3+J3</f>
        <v>85</v>
      </c>
      <c r="L3" s="8">
        <v>24742.34</v>
      </c>
      <c r="M3" s="8">
        <v>0</v>
      </c>
      <c r="N3" s="8">
        <f>SUM(L3,M3)</f>
        <v>24742.34</v>
      </c>
      <c r="O3" s="8">
        <f>PRODUCT(K3 * 3.55)</f>
        <v>301.75</v>
      </c>
      <c r="P3" s="8">
        <f>(N3-O3)</f>
        <v>24440.59</v>
      </c>
      <c r="Q3" s="17">
        <f>C3+K3</f>
        <v>105</v>
      </c>
      <c r="R3" s="11">
        <v>9449.0400000000009</v>
      </c>
      <c r="S3" s="11">
        <v>0</v>
      </c>
      <c r="T3" s="11">
        <f t="shared" ref="T3:T33" si="0">SUM(R3,S3)</f>
        <v>9449.0400000000009</v>
      </c>
      <c r="U3" s="11">
        <v>0</v>
      </c>
      <c r="V3" s="11">
        <f t="shared" ref="V3:V33" si="1">(T3-U3)</f>
        <v>9449.0400000000009</v>
      </c>
    </row>
    <row r="4" spans="1:22" x14ac:dyDescent="0.3">
      <c r="A4" s="6">
        <v>46267</v>
      </c>
      <c r="B4" s="7" t="s">
        <v>50</v>
      </c>
      <c r="C4" s="16">
        <v>0</v>
      </c>
      <c r="D4" s="14">
        <f>IF(ISNUMBER(VALUE(H3)),H3,0)</f>
        <v>22020.89</v>
      </c>
      <c r="E4" s="14">
        <v>0</v>
      </c>
      <c r="F4" s="14">
        <f t="shared" ref="F4:F33" si="2">SUM(D4,E4)</f>
        <v>22020.89</v>
      </c>
      <c r="G4" s="14">
        <f t="shared" ref="G4:G9" si="3">PRODUCT(C4 * 3.55)</f>
        <v>0</v>
      </c>
      <c r="H4" s="14">
        <f t="shared" ref="H4:H33" si="4">(F4-G4)</f>
        <v>22020.89</v>
      </c>
      <c r="I4" s="16">
        <v>0</v>
      </c>
      <c r="J4" s="16">
        <v>0</v>
      </c>
      <c r="K4" s="16">
        <v>0</v>
      </c>
      <c r="L4" s="8">
        <f>IF(ISNUMBER(VALUE(P3)),P3,0)</f>
        <v>24440.59</v>
      </c>
      <c r="M4" s="8">
        <v>0</v>
      </c>
      <c r="N4" s="8">
        <f t="shared" ref="N4:N33" si="5">SUM(L4,M4)</f>
        <v>24440.59</v>
      </c>
      <c r="O4" s="8">
        <f t="shared" ref="O4:O33" si="6">PRODUCT(K4 * 3.55)</f>
        <v>0</v>
      </c>
      <c r="P4" s="8">
        <f t="shared" ref="P4:P33" si="7">(N4-O4)</f>
        <v>24440.59</v>
      </c>
      <c r="Q4" s="17">
        <f t="shared" ref="Q4:Q33" si="8">C4+K4</f>
        <v>0</v>
      </c>
      <c r="R4" s="11">
        <f t="shared" ref="R4:R33" si="9">IF(ISNUMBER(VALUE(V3)),V3,0)</f>
        <v>9449.0400000000009</v>
      </c>
      <c r="S4" s="11">
        <v>0</v>
      </c>
      <c r="T4" s="11">
        <f t="shared" si="0"/>
        <v>9449.0400000000009</v>
      </c>
      <c r="U4" s="11">
        <f t="shared" ref="U4:U33" si="10">PRODUCT(Q4 * 0.44)</f>
        <v>0</v>
      </c>
      <c r="V4" s="11">
        <f t="shared" si="1"/>
        <v>9449.0400000000009</v>
      </c>
    </row>
    <row r="5" spans="1:22" x14ac:dyDescent="0.3">
      <c r="A5" s="6">
        <v>46268</v>
      </c>
      <c r="B5" s="7" t="s">
        <v>51</v>
      </c>
      <c r="C5" s="16">
        <v>22</v>
      </c>
      <c r="D5" s="14">
        <f t="shared" ref="D5:D33" si="11">IF(ISNUMBER(VALUE(H4)),H4,0)</f>
        <v>22020.89</v>
      </c>
      <c r="E5" s="14">
        <v>0</v>
      </c>
      <c r="F5" s="14">
        <f t="shared" si="2"/>
        <v>22020.89</v>
      </c>
      <c r="G5" s="14">
        <f t="shared" si="3"/>
        <v>78.099999999999994</v>
      </c>
      <c r="H5" s="14">
        <f t="shared" si="4"/>
        <v>21942.79</v>
      </c>
      <c r="I5" s="16">
        <v>39</v>
      </c>
      <c r="J5" s="16">
        <v>50</v>
      </c>
      <c r="K5" s="16">
        <f t="shared" ref="K5:K33" si="12">I5+J5</f>
        <v>89</v>
      </c>
      <c r="L5" s="8">
        <f t="shared" ref="L5:L33" si="13">IF(ISNUMBER(VALUE(P4)),P4,0)</f>
        <v>24440.59</v>
      </c>
      <c r="M5" s="8">
        <v>0</v>
      </c>
      <c r="N5" s="8">
        <f t="shared" si="5"/>
        <v>24440.59</v>
      </c>
      <c r="O5" s="8">
        <f t="shared" si="6"/>
        <v>315.95</v>
      </c>
      <c r="P5" s="8">
        <f t="shared" si="7"/>
        <v>24124.639999999999</v>
      </c>
      <c r="Q5" s="17">
        <f t="shared" si="8"/>
        <v>111</v>
      </c>
      <c r="R5" s="11">
        <f t="shared" si="9"/>
        <v>9449.0400000000009</v>
      </c>
      <c r="S5" s="11">
        <v>0</v>
      </c>
      <c r="T5" s="11">
        <f t="shared" si="0"/>
        <v>9449.0400000000009</v>
      </c>
      <c r="U5" s="11">
        <f t="shared" si="10"/>
        <v>48.84</v>
      </c>
      <c r="V5" s="11">
        <f t="shared" si="1"/>
        <v>9400.2000000000007</v>
      </c>
    </row>
    <row r="6" spans="1:22" x14ac:dyDescent="0.3">
      <c r="A6" s="6">
        <v>46269</v>
      </c>
      <c r="B6" s="7" t="s">
        <v>52</v>
      </c>
      <c r="C6" s="16">
        <v>23</v>
      </c>
      <c r="D6" s="14">
        <f t="shared" si="11"/>
        <v>21942.79</v>
      </c>
      <c r="E6" s="14">
        <v>0</v>
      </c>
      <c r="F6" s="14">
        <f t="shared" si="2"/>
        <v>21942.79</v>
      </c>
      <c r="G6" s="14">
        <f t="shared" si="3"/>
        <v>81.649999999999991</v>
      </c>
      <c r="H6" s="14">
        <f t="shared" si="4"/>
        <v>21861.14</v>
      </c>
      <c r="I6" s="16">
        <v>38</v>
      </c>
      <c r="J6" s="16">
        <v>50</v>
      </c>
      <c r="K6" s="16">
        <f>I6+J6</f>
        <v>88</v>
      </c>
      <c r="L6" s="8">
        <f t="shared" si="13"/>
        <v>24124.639999999999</v>
      </c>
      <c r="M6" s="8">
        <v>0</v>
      </c>
      <c r="N6" s="8">
        <f t="shared" si="5"/>
        <v>24124.639999999999</v>
      </c>
      <c r="O6" s="8">
        <f t="shared" si="6"/>
        <v>312.39999999999998</v>
      </c>
      <c r="P6" s="8">
        <f t="shared" si="7"/>
        <v>23812.239999999998</v>
      </c>
      <c r="Q6" s="17">
        <f t="shared" si="8"/>
        <v>111</v>
      </c>
      <c r="R6" s="11">
        <f t="shared" si="9"/>
        <v>9400.2000000000007</v>
      </c>
      <c r="S6" s="11">
        <v>0</v>
      </c>
      <c r="T6" s="11">
        <f t="shared" si="0"/>
        <v>9400.2000000000007</v>
      </c>
      <c r="U6" s="11">
        <f t="shared" si="10"/>
        <v>48.84</v>
      </c>
      <c r="V6" s="11">
        <f t="shared" si="1"/>
        <v>9351.36</v>
      </c>
    </row>
    <row r="7" spans="1:22" x14ac:dyDescent="0.3">
      <c r="A7" s="6">
        <v>46270</v>
      </c>
      <c r="B7" s="7" t="s">
        <v>53</v>
      </c>
      <c r="C7" s="16">
        <v>23</v>
      </c>
      <c r="D7" s="14">
        <f t="shared" si="11"/>
        <v>21861.14</v>
      </c>
      <c r="E7" s="14">
        <v>0</v>
      </c>
      <c r="F7" s="14">
        <f t="shared" si="2"/>
        <v>21861.14</v>
      </c>
      <c r="G7" s="14">
        <f t="shared" si="3"/>
        <v>81.649999999999991</v>
      </c>
      <c r="H7" s="14">
        <f t="shared" si="4"/>
        <v>21779.489999999998</v>
      </c>
      <c r="I7" s="16">
        <v>36</v>
      </c>
      <c r="J7" s="16">
        <v>47</v>
      </c>
      <c r="K7" s="16">
        <f t="shared" si="12"/>
        <v>83</v>
      </c>
      <c r="L7" s="8">
        <f t="shared" si="13"/>
        <v>23812.239999999998</v>
      </c>
      <c r="M7" s="8">
        <v>0</v>
      </c>
      <c r="N7" s="8">
        <f t="shared" si="5"/>
        <v>23812.239999999998</v>
      </c>
      <c r="O7" s="8">
        <f t="shared" si="6"/>
        <v>294.64999999999998</v>
      </c>
      <c r="P7" s="8">
        <f t="shared" si="7"/>
        <v>23517.589999999997</v>
      </c>
      <c r="Q7" s="17">
        <f t="shared" si="8"/>
        <v>106</v>
      </c>
      <c r="R7" s="11">
        <f t="shared" si="9"/>
        <v>9351.36</v>
      </c>
      <c r="S7" s="11">
        <v>0</v>
      </c>
      <c r="T7" s="11">
        <f t="shared" si="0"/>
        <v>9351.36</v>
      </c>
      <c r="U7" s="11">
        <f t="shared" si="10"/>
        <v>46.64</v>
      </c>
      <c r="V7" s="11">
        <f t="shared" si="1"/>
        <v>9304.7200000000012</v>
      </c>
    </row>
    <row r="8" spans="1:22" x14ac:dyDescent="0.3">
      <c r="A8" s="6">
        <v>46271</v>
      </c>
      <c r="B8" s="7" t="s">
        <v>54</v>
      </c>
      <c r="C8" s="16">
        <v>23</v>
      </c>
      <c r="D8" s="14">
        <f t="shared" si="11"/>
        <v>21779.489999999998</v>
      </c>
      <c r="E8" s="14">
        <v>0</v>
      </c>
      <c r="F8" s="14">
        <f t="shared" si="2"/>
        <v>21779.489999999998</v>
      </c>
      <c r="G8" s="14">
        <f t="shared" si="3"/>
        <v>81.649999999999991</v>
      </c>
      <c r="H8" s="14">
        <f t="shared" si="4"/>
        <v>21697.839999999997</v>
      </c>
      <c r="I8" s="16">
        <v>34</v>
      </c>
      <c r="J8" s="16">
        <v>44</v>
      </c>
      <c r="K8" s="16">
        <f t="shared" si="12"/>
        <v>78</v>
      </c>
      <c r="L8" s="8">
        <f t="shared" si="13"/>
        <v>23517.589999999997</v>
      </c>
      <c r="M8" s="8">
        <v>0</v>
      </c>
      <c r="N8" s="8">
        <f t="shared" si="5"/>
        <v>23517.589999999997</v>
      </c>
      <c r="O8" s="8">
        <f t="shared" si="6"/>
        <v>276.89999999999998</v>
      </c>
      <c r="P8" s="8">
        <f t="shared" si="7"/>
        <v>23240.689999999995</v>
      </c>
      <c r="Q8" s="17">
        <f t="shared" si="8"/>
        <v>101</v>
      </c>
      <c r="R8" s="11">
        <f t="shared" si="9"/>
        <v>9304.7200000000012</v>
      </c>
      <c r="S8" s="11">
        <v>0</v>
      </c>
      <c r="T8" s="11">
        <f t="shared" si="0"/>
        <v>9304.7200000000012</v>
      </c>
      <c r="U8" s="11">
        <f t="shared" si="10"/>
        <v>44.44</v>
      </c>
      <c r="V8" s="11">
        <f t="shared" si="1"/>
        <v>9260.2800000000007</v>
      </c>
    </row>
    <row r="9" spans="1:22" x14ac:dyDescent="0.3">
      <c r="A9" s="6">
        <v>46272</v>
      </c>
      <c r="B9" s="7" t="s">
        <v>55</v>
      </c>
      <c r="C9" s="16">
        <v>22</v>
      </c>
      <c r="D9" s="14">
        <f t="shared" si="11"/>
        <v>21697.839999999997</v>
      </c>
      <c r="E9" s="14">
        <v>0</v>
      </c>
      <c r="F9" s="14">
        <f t="shared" si="2"/>
        <v>21697.839999999997</v>
      </c>
      <c r="G9" s="14">
        <f t="shared" si="3"/>
        <v>78.099999999999994</v>
      </c>
      <c r="H9" s="14">
        <f t="shared" si="4"/>
        <v>21619.739999999998</v>
      </c>
      <c r="I9" s="16">
        <v>38</v>
      </c>
      <c r="J9" s="16">
        <v>48</v>
      </c>
      <c r="K9" s="16">
        <f t="shared" si="12"/>
        <v>86</v>
      </c>
      <c r="L9" s="8">
        <f t="shared" si="13"/>
        <v>23240.689999999995</v>
      </c>
      <c r="M9" s="8">
        <v>0</v>
      </c>
      <c r="N9" s="8">
        <f t="shared" si="5"/>
        <v>23240.689999999995</v>
      </c>
      <c r="O9" s="8">
        <f t="shared" si="6"/>
        <v>305.3</v>
      </c>
      <c r="P9" s="8">
        <f t="shared" si="7"/>
        <v>22935.389999999996</v>
      </c>
      <c r="Q9" s="17">
        <f t="shared" si="8"/>
        <v>108</v>
      </c>
      <c r="R9" s="11">
        <f t="shared" si="9"/>
        <v>9260.2800000000007</v>
      </c>
      <c r="S9" s="11">
        <v>0</v>
      </c>
      <c r="T9" s="11">
        <f t="shared" si="0"/>
        <v>9260.2800000000007</v>
      </c>
      <c r="U9" s="11">
        <f t="shared" si="10"/>
        <v>47.52</v>
      </c>
      <c r="V9" s="11">
        <f t="shared" si="1"/>
        <v>9212.76</v>
      </c>
    </row>
    <row r="10" spans="1:22" x14ac:dyDescent="0.3">
      <c r="A10" s="6">
        <v>46273</v>
      </c>
      <c r="B10" s="7" t="s">
        <v>49</v>
      </c>
      <c r="D10" s="14">
        <f t="shared" si="11"/>
        <v>21619.739999999998</v>
      </c>
      <c r="E10" s="14">
        <v>0</v>
      </c>
      <c r="F10" s="14">
        <f t="shared" si="2"/>
        <v>21619.739999999998</v>
      </c>
      <c r="G10" s="14">
        <f>PRODUCT(C10 * 3.55)</f>
        <v>0</v>
      </c>
      <c r="H10" s="14">
        <f t="shared" si="4"/>
        <v>21619.739999999998</v>
      </c>
      <c r="K10" s="16">
        <f t="shared" si="12"/>
        <v>0</v>
      </c>
      <c r="L10" s="8">
        <f t="shared" si="13"/>
        <v>22935.389999999996</v>
      </c>
      <c r="M10" s="8">
        <v>0</v>
      </c>
      <c r="N10" s="8">
        <f t="shared" si="5"/>
        <v>22935.389999999996</v>
      </c>
      <c r="O10" s="8">
        <f t="shared" si="6"/>
        <v>0</v>
      </c>
      <c r="P10" s="8">
        <f t="shared" si="7"/>
        <v>22935.389999999996</v>
      </c>
      <c r="Q10" s="17">
        <f t="shared" si="8"/>
        <v>0</v>
      </c>
      <c r="R10" s="11">
        <f t="shared" si="9"/>
        <v>9212.76</v>
      </c>
      <c r="S10" s="11">
        <v>0</v>
      </c>
      <c r="T10" s="11">
        <f t="shared" si="0"/>
        <v>9212.76</v>
      </c>
      <c r="U10" s="11">
        <f t="shared" si="10"/>
        <v>0</v>
      </c>
      <c r="V10" s="11">
        <f t="shared" si="1"/>
        <v>9212.76</v>
      </c>
    </row>
    <row r="11" spans="1:22" x14ac:dyDescent="0.3">
      <c r="A11" s="6">
        <v>46274</v>
      </c>
      <c r="B11" s="7" t="s">
        <v>50</v>
      </c>
      <c r="D11" s="14">
        <f t="shared" si="11"/>
        <v>21619.739999999998</v>
      </c>
      <c r="E11" s="14">
        <v>0</v>
      </c>
      <c r="F11" s="14">
        <f t="shared" si="2"/>
        <v>21619.739999999998</v>
      </c>
      <c r="G11" s="14">
        <f t="shared" ref="G4:G34" si="14">PRODUCT(C11 * 3.55)</f>
        <v>0</v>
      </c>
      <c r="H11" s="14">
        <f t="shared" si="4"/>
        <v>21619.739999999998</v>
      </c>
      <c r="K11" s="16">
        <f t="shared" si="12"/>
        <v>0</v>
      </c>
      <c r="L11" s="8">
        <f t="shared" si="13"/>
        <v>22935.389999999996</v>
      </c>
      <c r="M11" s="8">
        <v>0</v>
      </c>
      <c r="N11" s="8">
        <f t="shared" si="5"/>
        <v>22935.389999999996</v>
      </c>
      <c r="O11" s="8">
        <f t="shared" si="6"/>
        <v>0</v>
      </c>
      <c r="P11" s="8">
        <f t="shared" si="7"/>
        <v>22935.389999999996</v>
      </c>
      <c r="Q11" s="17">
        <f t="shared" si="8"/>
        <v>0</v>
      </c>
      <c r="R11" s="11">
        <f t="shared" si="9"/>
        <v>9212.76</v>
      </c>
      <c r="S11" s="11">
        <v>0</v>
      </c>
      <c r="T11" s="11">
        <f t="shared" si="0"/>
        <v>9212.76</v>
      </c>
      <c r="U11" s="11">
        <f t="shared" si="10"/>
        <v>0</v>
      </c>
      <c r="V11" s="11">
        <f t="shared" si="1"/>
        <v>9212.76</v>
      </c>
    </row>
    <row r="12" spans="1:22" x14ac:dyDescent="0.3">
      <c r="A12" s="6">
        <v>46275</v>
      </c>
      <c r="B12" s="7" t="s">
        <v>51</v>
      </c>
      <c r="D12" s="14">
        <f t="shared" si="11"/>
        <v>21619.739999999998</v>
      </c>
      <c r="E12" s="14">
        <v>0</v>
      </c>
      <c r="F12" s="14">
        <f t="shared" si="2"/>
        <v>21619.739999999998</v>
      </c>
      <c r="G12" s="14">
        <f t="shared" si="14"/>
        <v>0</v>
      </c>
      <c r="H12" s="14">
        <f t="shared" si="4"/>
        <v>21619.739999999998</v>
      </c>
      <c r="K12" s="16">
        <f t="shared" si="12"/>
        <v>0</v>
      </c>
      <c r="L12" s="8">
        <f t="shared" si="13"/>
        <v>22935.389999999996</v>
      </c>
      <c r="M12" s="8">
        <v>0</v>
      </c>
      <c r="N12" s="8">
        <f t="shared" si="5"/>
        <v>22935.389999999996</v>
      </c>
      <c r="O12" s="8">
        <f t="shared" si="6"/>
        <v>0</v>
      </c>
      <c r="P12" s="8">
        <f t="shared" si="7"/>
        <v>22935.389999999996</v>
      </c>
      <c r="Q12" s="17">
        <f t="shared" si="8"/>
        <v>0</v>
      </c>
      <c r="R12" s="11">
        <f t="shared" si="9"/>
        <v>9212.76</v>
      </c>
      <c r="S12" s="11">
        <v>0</v>
      </c>
      <c r="T12" s="11">
        <f t="shared" si="0"/>
        <v>9212.76</v>
      </c>
      <c r="U12" s="11">
        <f t="shared" si="10"/>
        <v>0</v>
      </c>
      <c r="V12" s="11">
        <f t="shared" si="1"/>
        <v>9212.76</v>
      </c>
    </row>
    <row r="13" spans="1:22" x14ac:dyDescent="0.3">
      <c r="A13" s="6">
        <v>46276</v>
      </c>
      <c r="B13" s="7" t="s">
        <v>52</v>
      </c>
      <c r="D13" s="14">
        <f t="shared" si="11"/>
        <v>21619.739999999998</v>
      </c>
      <c r="E13" s="14">
        <v>0</v>
      </c>
      <c r="F13" s="14">
        <f t="shared" si="2"/>
        <v>21619.739999999998</v>
      </c>
      <c r="G13" s="14">
        <f t="shared" si="14"/>
        <v>0</v>
      </c>
      <c r="H13" s="14">
        <f t="shared" si="4"/>
        <v>21619.739999999998</v>
      </c>
      <c r="K13" s="16">
        <f t="shared" si="12"/>
        <v>0</v>
      </c>
      <c r="L13" s="8">
        <f t="shared" si="13"/>
        <v>22935.389999999996</v>
      </c>
      <c r="M13" s="8">
        <v>0</v>
      </c>
      <c r="N13" s="8">
        <f t="shared" si="5"/>
        <v>22935.389999999996</v>
      </c>
      <c r="O13" s="8">
        <f t="shared" si="6"/>
        <v>0</v>
      </c>
      <c r="P13" s="8">
        <f t="shared" si="7"/>
        <v>22935.389999999996</v>
      </c>
      <c r="Q13" s="17">
        <f t="shared" si="8"/>
        <v>0</v>
      </c>
      <c r="R13" s="11">
        <f t="shared" si="9"/>
        <v>9212.76</v>
      </c>
      <c r="S13" s="11">
        <v>0</v>
      </c>
      <c r="T13" s="11">
        <f t="shared" si="0"/>
        <v>9212.76</v>
      </c>
      <c r="U13" s="11">
        <f t="shared" si="10"/>
        <v>0</v>
      </c>
      <c r="V13" s="11">
        <f t="shared" si="1"/>
        <v>9212.76</v>
      </c>
    </row>
    <row r="14" spans="1:22" x14ac:dyDescent="0.3">
      <c r="A14" s="6">
        <v>46277</v>
      </c>
      <c r="B14" s="7" t="s">
        <v>53</v>
      </c>
      <c r="D14" s="14">
        <f t="shared" si="11"/>
        <v>21619.739999999998</v>
      </c>
      <c r="E14" s="14">
        <v>0</v>
      </c>
      <c r="F14" s="14">
        <f t="shared" si="2"/>
        <v>21619.739999999998</v>
      </c>
      <c r="G14" s="14">
        <f t="shared" si="14"/>
        <v>0</v>
      </c>
      <c r="H14" s="14">
        <f t="shared" si="4"/>
        <v>21619.739999999998</v>
      </c>
      <c r="K14" s="16">
        <f t="shared" si="12"/>
        <v>0</v>
      </c>
      <c r="L14" s="8">
        <f t="shared" si="13"/>
        <v>22935.389999999996</v>
      </c>
      <c r="M14" s="8">
        <v>0</v>
      </c>
      <c r="N14" s="8">
        <f t="shared" si="5"/>
        <v>22935.389999999996</v>
      </c>
      <c r="O14" s="8">
        <f t="shared" si="6"/>
        <v>0</v>
      </c>
      <c r="P14" s="8">
        <f t="shared" si="7"/>
        <v>22935.389999999996</v>
      </c>
      <c r="Q14" s="17">
        <f t="shared" si="8"/>
        <v>0</v>
      </c>
      <c r="R14" s="11">
        <f t="shared" si="9"/>
        <v>9212.76</v>
      </c>
      <c r="S14" s="11">
        <v>0</v>
      </c>
      <c r="T14" s="11">
        <f t="shared" si="0"/>
        <v>9212.76</v>
      </c>
      <c r="U14" s="11">
        <f t="shared" si="10"/>
        <v>0</v>
      </c>
      <c r="V14" s="11">
        <f t="shared" si="1"/>
        <v>9212.76</v>
      </c>
    </row>
    <row r="15" spans="1:22" x14ac:dyDescent="0.3">
      <c r="A15" s="6">
        <v>46278</v>
      </c>
      <c r="B15" s="7" t="s">
        <v>54</v>
      </c>
      <c r="D15" s="14">
        <f t="shared" si="11"/>
        <v>21619.739999999998</v>
      </c>
      <c r="E15" s="14">
        <v>0</v>
      </c>
      <c r="F15" s="14">
        <f t="shared" si="2"/>
        <v>21619.739999999998</v>
      </c>
      <c r="G15" s="14">
        <f t="shared" si="14"/>
        <v>0</v>
      </c>
      <c r="H15" s="14">
        <f t="shared" si="4"/>
        <v>21619.739999999998</v>
      </c>
      <c r="K15" s="16">
        <f t="shared" si="12"/>
        <v>0</v>
      </c>
      <c r="L15" s="8">
        <f t="shared" si="13"/>
        <v>22935.389999999996</v>
      </c>
      <c r="M15" s="8">
        <v>0</v>
      </c>
      <c r="N15" s="8">
        <f t="shared" si="5"/>
        <v>22935.389999999996</v>
      </c>
      <c r="O15" s="8">
        <f t="shared" si="6"/>
        <v>0</v>
      </c>
      <c r="P15" s="8">
        <f t="shared" si="7"/>
        <v>22935.389999999996</v>
      </c>
      <c r="Q15" s="17">
        <f t="shared" si="8"/>
        <v>0</v>
      </c>
      <c r="R15" s="11">
        <f t="shared" si="9"/>
        <v>9212.76</v>
      </c>
      <c r="S15" s="11">
        <v>0</v>
      </c>
      <c r="T15" s="11">
        <f t="shared" si="0"/>
        <v>9212.76</v>
      </c>
      <c r="U15" s="11">
        <f t="shared" si="10"/>
        <v>0</v>
      </c>
      <c r="V15" s="11">
        <f t="shared" si="1"/>
        <v>9212.76</v>
      </c>
    </row>
    <row r="16" spans="1:22" x14ac:dyDescent="0.3">
      <c r="A16" s="6">
        <v>46279</v>
      </c>
      <c r="B16" s="7" t="s">
        <v>55</v>
      </c>
      <c r="D16" s="14">
        <f t="shared" si="11"/>
        <v>21619.739999999998</v>
      </c>
      <c r="E16" s="14">
        <v>0</v>
      </c>
      <c r="F16" s="14">
        <f t="shared" si="2"/>
        <v>21619.739999999998</v>
      </c>
      <c r="G16" s="14">
        <f t="shared" si="14"/>
        <v>0</v>
      </c>
      <c r="H16" s="14">
        <f t="shared" si="4"/>
        <v>21619.739999999998</v>
      </c>
      <c r="K16" s="16">
        <f t="shared" si="12"/>
        <v>0</v>
      </c>
      <c r="L16" s="8">
        <f t="shared" si="13"/>
        <v>22935.389999999996</v>
      </c>
      <c r="M16" s="8">
        <v>0</v>
      </c>
      <c r="N16" s="8">
        <f t="shared" si="5"/>
        <v>22935.389999999996</v>
      </c>
      <c r="O16" s="8">
        <f t="shared" si="6"/>
        <v>0</v>
      </c>
      <c r="P16" s="8">
        <f t="shared" si="7"/>
        <v>22935.389999999996</v>
      </c>
      <c r="Q16" s="17">
        <f t="shared" si="8"/>
        <v>0</v>
      </c>
      <c r="R16" s="11">
        <f t="shared" si="9"/>
        <v>9212.76</v>
      </c>
      <c r="S16" s="11">
        <v>0</v>
      </c>
      <c r="T16" s="11">
        <f t="shared" si="0"/>
        <v>9212.76</v>
      </c>
      <c r="U16" s="11">
        <f t="shared" si="10"/>
        <v>0</v>
      </c>
      <c r="V16" s="11">
        <f t="shared" si="1"/>
        <v>9212.76</v>
      </c>
    </row>
    <row r="17" spans="1:22" x14ac:dyDescent="0.3">
      <c r="A17" s="6">
        <v>46280</v>
      </c>
      <c r="B17" s="7" t="s">
        <v>49</v>
      </c>
      <c r="D17" s="14">
        <f t="shared" si="11"/>
        <v>21619.739999999998</v>
      </c>
      <c r="E17" s="14">
        <v>0</v>
      </c>
      <c r="F17" s="14">
        <f t="shared" si="2"/>
        <v>21619.739999999998</v>
      </c>
      <c r="G17" s="14">
        <f t="shared" si="14"/>
        <v>0</v>
      </c>
      <c r="H17" s="14">
        <f t="shared" si="4"/>
        <v>21619.739999999998</v>
      </c>
      <c r="K17" s="16">
        <f t="shared" si="12"/>
        <v>0</v>
      </c>
      <c r="L17" s="8">
        <f t="shared" si="13"/>
        <v>22935.389999999996</v>
      </c>
      <c r="M17" s="8">
        <v>0</v>
      </c>
      <c r="N17" s="8">
        <f t="shared" si="5"/>
        <v>22935.389999999996</v>
      </c>
      <c r="O17" s="8">
        <f t="shared" si="6"/>
        <v>0</v>
      </c>
      <c r="P17" s="8">
        <f t="shared" si="7"/>
        <v>22935.389999999996</v>
      </c>
      <c r="Q17" s="17">
        <f t="shared" si="8"/>
        <v>0</v>
      </c>
      <c r="R17" s="11">
        <f t="shared" si="9"/>
        <v>9212.76</v>
      </c>
      <c r="S17" s="11">
        <v>0</v>
      </c>
      <c r="T17" s="11">
        <f t="shared" si="0"/>
        <v>9212.76</v>
      </c>
      <c r="U17" s="11">
        <f t="shared" si="10"/>
        <v>0</v>
      </c>
      <c r="V17" s="11">
        <f t="shared" si="1"/>
        <v>9212.76</v>
      </c>
    </row>
    <row r="18" spans="1:22" x14ac:dyDescent="0.3">
      <c r="A18" s="6">
        <v>46281</v>
      </c>
      <c r="B18" s="7" t="s">
        <v>50</v>
      </c>
      <c r="D18" s="14">
        <f t="shared" si="11"/>
        <v>21619.739999999998</v>
      </c>
      <c r="E18" s="14">
        <v>0</v>
      </c>
      <c r="F18" s="14">
        <f t="shared" si="2"/>
        <v>21619.739999999998</v>
      </c>
      <c r="G18" s="14">
        <f t="shared" si="14"/>
        <v>0</v>
      </c>
      <c r="H18" s="14">
        <f t="shared" si="4"/>
        <v>21619.739999999998</v>
      </c>
      <c r="K18" s="16">
        <f t="shared" si="12"/>
        <v>0</v>
      </c>
      <c r="L18" s="8">
        <f t="shared" si="13"/>
        <v>22935.389999999996</v>
      </c>
      <c r="M18" s="8">
        <v>0</v>
      </c>
      <c r="N18" s="8">
        <f t="shared" si="5"/>
        <v>22935.389999999996</v>
      </c>
      <c r="O18" s="8">
        <f t="shared" si="6"/>
        <v>0</v>
      </c>
      <c r="P18" s="8">
        <f t="shared" si="7"/>
        <v>22935.389999999996</v>
      </c>
      <c r="Q18" s="17">
        <f t="shared" si="8"/>
        <v>0</v>
      </c>
      <c r="R18" s="11">
        <f t="shared" si="9"/>
        <v>9212.76</v>
      </c>
      <c r="S18" s="11">
        <v>0</v>
      </c>
      <c r="T18" s="11">
        <f t="shared" si="0"/>
        <v>9212.76</v>
      </c>
      <c r="U18" s="11">
        <f t="shared" si="10"/>
        <v>0</v>
      </c>
      <c r="V18" s="11">
        <f t="shared" si="1"/>
        <v>9212.76</v>
      </c>
    </row>
    <row r="19" spans="1:22" x14ac:dyDescent="0.3">
      <c r="A19" s="6">
        <v>46282</v>
      </c>
      <c r="B19" s="7" t="s">
        <v>51</v>
      </c>
      <c r="D19" s="14">
        <f t="shared" si="11"/>
        <v>21619.739999999998</v>
      </c>
      <c r="E19" s="14">
        <v>0</v>
      </c>
      <c r="F19" s="14">
        <f t="shared" si="2"/>
        <v>21619.739999999998</v>
      </c>
      <c r="G19" s="14">
        <f t="shared" si="14"/>
        <v>0</v>
      </c>
      <c r="H19" s="14">
        <f t="shared" si="4"/>
        <v>21619.739999999998</v>
      </c>
      <c r="K19" s="16">
        <f t="shared" si="12"/>
        <v>0</v>
      </c>
      <c r="L19" s="8">
        <f t="shared" si="13"/>
        <v>22935.389999999996</v>
      </c>
      <c r="M19" s="8">
        <v>0</v>
      </c>
      <c r="N19" s="8">
        <f t="shared" si="5"/>
        <v>22935.389999999996</v>
      </c>
      <c r="O19" s="8">
        <f t="shared" si="6"/>
        <v>0</v>
      </c>
      <c r="P19" s="8">
        <f t="shared" si="7"/>
        <v>22935.389999999996</v>
      </c>
      <c r="Q19" s="17">
        <f t="shared" si="8"/>
        <v>0</v>
      </c>
      <c r="R19" s="11">
        <f t="shared" si="9"/>
        <v>9212.76</v>
      </c>
      <c r="S19" s="11">
        <v>0</v>
      </c>
      <c r="T19" s="11">
        <f t="shared" si="0"/>
        <v>9212.76</v>
      </c>
      <c r="U19" s="11">
        <f t="shared" si="10"/>
        <v>0</v>
      </c>
      <c r="V19" s="11">
        <f t="shared" si="1"/>
        <v>9212.76</v>
      </c>
    </row>
    <row r="20" spans="1:22" x14ac:dyDescent="0.3">
      <c r="A20" s="6">
        <v>46283</v>
      </c>
      <c r="B20" s="7" t="s">
        <v>52</v>
      </c>
      <c r="D20" s="14">
        <f t="shared" si="11"/>
        <v>21619.739999999998</v>
      </c>
      <c r="E20" s="14">
        <v>0</v>
      </c>
      <c r="F20" s="14">
        <f t="shared" si="2"/>
        <v>21619.739999999998</v>
      </c>
      <c r="G20" s="14">
        <f t="shared" si="14"/>
        <v>0</v>
      </c>
      <c r="H20" s="14">
        <f t="shared" si="4"/>
        <v>21619.739999999998</v>
      </c>
      <c r="K20" s="16">
        <f t="shared" si="12"/>
        <v>0</v>
      </c>
      <c r="L20" s="8">
        <f t="shared" si="13"/>
        <v>22935.389999999996</v>
      </c>
      <c r="M20" s="8">
        <v>0</v>
      </c>
      <c r="N20" s="8">
        <f t="shared" si="5"/>
        <v>22935.389999999996</v>
      </c>
      <c r="O20" s="8">
        <f t="shared" si="6"/>
        <v>0</v>
      </c>
      <c r="P20" s="8">
        <f t="shared" si="7"/>
        <v>22935.389999999996</v>
      </c>
      <c r="Q20" s="17">
        <f t="shared" si="8"/>
        <v>0</v>
      </c>
      <c r="R20" s="11">
        <f t="shared" si="9"/>
        <v>9212.76</v>
      </c>
      <c r="S20" s="11">
        <v>0</v>
      </c>
      <c r="T20" s="11">
        <f t="shared" si="0"/>
        <v>9212.76</v>
      </c>
      <c r="U20" s="11">
        <f t="shared" si="10"/>
        <v>0</v>
      </c>
      <c r="V20" s="11">
        <f t="shared" si="1"/>
        <v>9212.76</v>
      </c>
    </row>
    <row r="21" spans="1:22" x14ac:dyDescent="0.3">
      <c r="A21" s="6">
        <v>46284</v>
      </c>
      <c r="B21" s="7" t="s">
        <v>53</v>
      </c>
      <c r="D21" s="14">
        <f t="shared" si="11"/>
        <v>21619.739999999998</v>
      </c>
      <c r="E21" s="14">
        <v>0</v>
      </c>
      <c r="F21" s="14">
        <f t="shared" si="2"/>
        <v>21619.739999999998</v>
      </c>
      <c r="G21" s="14">
        <f t="shared" si="14"/>
        <v>0</v>
      </c>
      <c r="H21" s="14">
        <f t="shared" si="4"/>
        <v>21619.739999999998</v>
      </c>
      <c r="K21" s="16">
        <f t="shared" si="12"/>
        <v>0</v>
      </c>
      <c r="L21" s="8">
        <f t="shared" si="13"/>
        <v>22935.389999999996</v>
      </c>
      <c r="M21" s="8">
        <v>0</v>
      </c>
      <c r="N21" s="8">
        <f t="shared" si="5"/>
        <v>22935.389999999996</v>
      </c>
      <c r="O21" s="8">
        <f t="shared" si="6"/>
        <v>0</v>
      </c>
      <c r="P21" s="8">
        <f t="shared" si="7"/>
        <v>22935.389999999996</v>
      </c>
      <c r="Q21" s="17">
        <f t="shared" si="8"/>
        <v>0</v>
      </c>
      <c r="R21" s="11">
        <f t="shared" si="9"/>
        <v>9212.76</v>
      </c>
      <c r="S21" s="11">
        <v>0</v>
      </c>
      <c r="T21" s="11">
        <f t="shared" si="0"/>
        <v>9212.76</v>
      </c>
      <c r="U21" s="11">
        <f t="shared" si="10"/>
        <v>0</v>
      </c>
      <c r="V21" s="11">
        <f t="shared" si="1"/>
        <v>9212.76</v>
      </c>
    </row>
    <row r="22" spans="1:22" x14ac:dyDescent="0.3">
      <c r="A22" s="6">
        <v>46285</v>
      </c>
      <c r="B22" s="7" t="s">
        <v>54</v>
      </c>
      <c r="D22" s="14">
        <f t="shared" si="11"/>
        <v>21619.739999999998</v>
      </c>
      <c r="E22" s="14">
        <v>0</v>
      </c>
      <c r="F22" s="14">
        <f t="shared" si="2"/>
        <v>21619.739999999998</v>
      </c>
      <c r="G22" s="14">
        <f t="shared" si="14"/>
        <v>0</v>
      </c>
      <c r="H22" s="14">
        <f t="shared" si="4"/>
        <v>21619.739999999998</v>
      </c>
      <c r="K22" s="16">
        <f t="shared" si="12"/>
        <v>0</v>
      </c>
      <c r="L22" s="8">
        <f t="shared" si="13"/>
        <v>22935.389999999996</v>
      </c>
      <c r="M22" s="8">
        <v>0</v>
      </c>
      <c r="N22" s="8">
        <f t="shared" si="5"/>
        <v>22935.389999999996</v>
      </c>
      <c r="O22" s="8">
        <f t="shared" si="6"/>
        <v>0</v>
      </c>
      <c r="P22" s="8">
        <f t="shared" si="7"/>
        <v>22935.389999999996</v>
      </c>
      <c r="Q22" s="17">
        <f t="shared" si="8"/>
        <v>0</v>
      </c>
      <c r="R22" s="11">
        <f t="shared" si="9"/>
        <v>9212.76</v>
      </c>
      <c r="S22" s="11">
        <v>0</v>
      </c>
      <c r="T22" s="11">
        <f t="shared" si="0"/>
        <v>9212.76</v>
      </c>
      <c r="U22" s="11">
        <f t="shared" si="10"/>
        <v>0</v>
      </c>
      <c r="V22" s="11">
        <f t="shared" si="1"/>
        <v>9212.76</v>
      </c>
    </row>
    <row r="23" spans="1:22" x14ac:dyDescent="0.3">
      <c r="A23" s="6">
        <v>46286</v>
      </c>
      <c r="B23" s="7" t="s">
        <v>55</v>
      </c>
      <c r="D23" s="14">
        <f t="shared" si="11"/>
        <v>21619.739999999998</v>
      </c>
      <c r="E23" s="14">
        <v>0</v>
      </c>
      <c r="F23" s="14">
        <f t="shared" si="2"/>
        <v>21619.739999999998</v>
      </c>
      <c r="G23" s="14">
        <f t="shared" si="14"/>
        <v>0</v>
      </c>
      <c r="H23" s="14">
        <f t="shared" si="4"/>
        <v>21619.739999999998</v>
      </c>
      <c r="K23" s="16">
        <f t="shared" si="12"/>
        <v>0</v>
      </c>
      <c r="L23" s="8">
        <f t="shared" si="13"/>
        <v>22935.389999999996</v>
      </c>
      <c r="M23" s="8">
        <v>0</v>
      </c>
      <c r="N23" s="8">
        <f t="shared" si="5"/>
        <v>22935.389999999996</v>
      </c>
      <c r="O23" s="8">
        <f t="shared" si="6"/>
        <v>0</v>
      </c>
      <c r="P23" s="8">
        <f t="shared" si="7"/>
        <v>22935.389999999996</v>
      </c>
      <c r="Q23" s="17">
        <f t="shared" si="8"/>
        <v>0</v>
      </c>
      <c r="R23" s="11">
        <f t="shared" si="9"/>
        <v>9212.76</v>
      </c>
      <c r="S23" s="11">
        <v>0</v>
      </c>
      <c r="T23" s="11">
        <f t="shared" si="0"/>
        <v>9212.76</v>
      </c>
      <c r="U23" s="11">
        <f t="shared" si="10"/>
        <v>0</v>
      </c>
      <c r="V23" s="11">
        <f t="shared" si="1"/>
        <v>9212.76</v>
      </c>
    </row>
    <row r="24" spans="1:22" x14ac:dyDescent="0.3">
      <c r="A24" s="6">
        <v>46287</v>
      </c>
      <c r="B24" s="7" t="s">
        <v>49</v>
      </c>
      <c r="D24" s="14">
        <f t="shared" si="11"/>
        <v>21619.739999999998</v>
      </c>
      <c r="E24" s="14">
        <v>0</v>
      </c>
      <c r="F24" s="14">
        <f t="shared" si="2"/>
        <v>21619.739999999998</v>
      </c>
      <c r="G24" s="14">
        <f t="shared" si="14"/>
        <v>0</v>
      </c>
      <c r="H24" s="14">
        <f t="shared" si="4"/>
        <v>21619.739999999998</v>
      </c>
      <c r="K24" s="16">
        <f t="shared" si="12"/>
        <v>0</v>
      </c>
      <c r="L24" s="8">
        <f t="shared" si="13"/>
        <v>22935.389999999996</v>
      </c>
      <c r="M24" s="8">
        <v>0</v>
      </c>
      <c r="N24" s="8">
        <f t="shared" si="5"/>
        <v>22935.389999999996</v>
      </c>
      <c r="O24" s="8">
        <f t="shared" si="6"/>
        <v>0</v>
      </c>
      <c r="P24" s="8">
        <f t="shared" si="7"/>
        <v>22935.389999999996</v>
      </c>
      <c r="Q24" s="17">
        <f t="shared" si="8"/>
        <v>0</v>
      </c>
      <c r="R24" s="11">
        <f t="shared" si="9"/>
        <v>9212.76</v>
      </c>
      <c r="S24" s="11">
        <v>0</v>
      </c>
      <c r="T24" s="11">
        <f t="shared" si="0"/>
        <v>9212.76</v>
      </c>
      <c r="U24" s="11">
        <f t="shared" si="10"/>
        <v>0</v>
      </c>
      <c r="V24" s="11">
        <f t="shared" si="1"/>
        <v>9212.76</v>
      </c>
    </row>
    <row r="25" spans="1:22" x14ac:dyDescent="0.3">
      <c r="A25" s="6">
        <v>46288</v>
      </c>
      <c r="B25" s="7" t="s">
        <v>50</v>
      </c>
      <c r="D25" s="14">
        <f t="shared" si="11"/>
        <v>21619.739999999998</v>
      </c>
      <c r="E25" s="14">
        <v>0</v>
      </c>
      <c r="F25" s="14">
        <f t="shared" si="2"/>
        <v>21619.739999999998</v>
      </c>
      <c r="G25" s="14">
        <f t="shared" si="14"/>
        <v>0</v>
      </c>
      <c r="H25" s="14">
        <f t="shared" si="4"/>
        <v>21619.739999999998</v>
      </c>
      <c r="K25" s="16">
        <f t="shared" si="12"/>
        <v>0</v>
      </c>
      <c r="L25" s="8">
        <f t="shared" si="13"/>
        <v>22935.389999999996</v>
      </c>
      <c r="M25" s="8">
        <v>0</v>
      </c>
      <c r="N25" s="8">
        <f t="shared" si="5"/>
        <v>22935.389999999996</v>
      </c>
      <c r="O25" s="8">
        <f t="shared" si="6"/>
        <v>0</v>
      </c>
      <c r="P25" s="8">
        <f t="shared" si="7"/>
        <v>22935.389999999996</v>
      </c>
      <c r="Q25" s="17">
        <f t="shared" si="8"/>
        <v>0</v>
      </c>
      <c r="R25" s="11">
        <f t="shared" si="9"/>
        <v>9212.76</v>
      </c>
      <c r="S25" s="11">
        <v>0</v>
      </c>
      <c r="T25" s="11">
        <f t="shared" si="0"/>
        <v>9212.76</v>
      </c>
      <c r="U25" s="11">
        <f t="shared" si="10"/>
        <v>0</v>
      </c>
      <c r="V25" s="11">
        <f t="shared" si="1"/>
        <v>9212.76</v>
      </c>
    </row>
    <row r="26" spans="1:22" x14ac:dyDescent="0.3">
      <c r="A26" s="6">
        <v>46289</v>
      </c>
      <c r="B26" s="7" t="s">
        <v>51</v>
      </c>
      <c r="D26" s="14">
        <f t="shared" si="11"/>
        <v>21619.739999999998</v>
      </c>
      <c r="E26" s="14">
        <v>0</v>
      </c>
      <c r="F26" s="14">
        <f t="shared" si="2"/>
        <v>21619.739999999998</v>
      </c>
      <c r="G26" s="14">
        <f t="shared" si="14"/>
        <v>0</v>
      </c>
      <c r="H26" s="14">
        <f t="shared" si="4"/>
        <v>21619.739999999998</v>
      </c>
      <c r="K26" s="16">
        <f t="shared" si="12"/>
        <v>0</v>
      </c>
      <c r="L26" s="8">
        <f t="shared" si="13"/>
        <v>22935.389999999996</v>
      </c>
      <c r="M26" s="8">
        <v>0</v>
      </c>
      <c r="N26" s="8">
        <f t="shared" si="5"/>
        <v>22935.389999999996</v>
      </c>
      <c r="O26" s="8">
        <f t="shared" si="6"/>
        <v>0</v>
      </c>
      <c r="P26" s="8">
        <f t="shared" si="7"/>
        <v>22935.389999999996</v>
      </c>
      <c r="Q26" s="17">
        <f t="shared" si="8"/>
        <v>0</v>
      </c>
      <c r="R26" s="11">
        <f t="shared" si="9"/>
        <v>9212.76</v>
      </c>
      <c r="S26" s="11">
        <v>0</v>
      </c>
      <c r="T26" s="11">
        <f t="shared" si="0"/>
        <v>9212.76</v>
      </c>
      <c r="U26" s="11">
        <f t="shared" si="10"/>
        <v>0</v>
      </c>
      <c r="V26" s="11">
        <f t="shared" si="1"/>
        <v>9212.76</v>
      </c>
    </row>
    <row r="27" spans="1:22" x14ac:dyDescent="0.3">
      <c r="A27" s="6">
        <v>46290</v>
      </c>
      <c r="B27" s="7" t="s">
        <v>52</v>
      </c>
      <c r="D27" s="14">
        <f t="shared" si="11"/>
        <v>21619.739999999998</v>
      </c>
      <c r="E27" s="14">
        <v>0</v>
      </c>
      <c r="F27" s="14">
        <f t="shared" si="2"/>
        <v>21619.739999999998</v>
      </c>
      <c r="G27" s="14">
        <f t="shared" si="14"/>
        <v>0</v>
      </c>
      <c r="H27" s="14">
        <f t="shared" si="4"/>
        <v>21619.739999999998</v>
      </c>
      <c r="K27" s="16">
        <f t="shared" si="12"/>
        <v>0</v>
      </c>
      <c r="L27" s="8">
        <f t="shared" si="13"/>
        <v>22935.389999999996</v>
      </c>
      <c r="M27" s="8">
        <v>0</v>
      </c>
      <c r="N27" s="8">
        <f t="shared" si="5"/>
        <v>22935.389999999996</v>
      </c>
      <c r="O27" s="8">
        <f t="shared" si="6"/>
        <v>0</v>
      </c>
      <c r="P27" s="8">
        <f t="shared" si="7"/>
        <v>22935.389999999996</v>
      </c>
      <c r="Q27" s="17">
        <f t="shared" si="8"/>
        <v>0</v>
      </c>
      <c r="R27" s="11">
        <f t="shared" si="9"/>
        <v>9212.76</v>
      </c>
      <c r="S27" s="11">
        <v>0</v>
      </c>
      <c r="T27" s="11">
        <f t="shared" si="0"/>
        <v>9212.76</v>
      </c>
      <c r="U27" s="11">
        <f t="shared" si="10"/>
        <v>0</v>
      </c>
      <c r="V27" s="11">
        <f t="shared" si="1"/>
        <v>9212.76</v>
      </c>
    </row>
    <row r="28" spans="1:22" x14ac:dyDescent="0.3">
      <c r="A28" s="6">
        <v>46291</v>
      </c>
      <c r="B28" s="7" t="s">
        <v>53</v>
      </c>
      <c r="D28" s="14">
        <f t="shared" si="11"/>
        <v>21619.739999999998</v>
      </c>
      <c r="E28" s="14">
        <v>0</v>
      </c>
      <c r="F28" s="14">
        <f t="shared" si="2"/>
        <v>21619.739999999998</v>
      </c>
      <c r="G28" s="14">
        <f t="shared" si="14"/>
        <v>0</v>
      </c>
      <c r="H28" s="14">
        <f t="shared" si="4"/>
        <v>21619.739999999998</v>
      </c>
      <c r="K28" s="16">
        <f t="shared" si="12"/>
        <v>0</v>
      </c>
      <c r="L28" s="8">
        <f t="shared" si="13"/>
        <v>22935.389999999996</v>
      </c>
      <c r="M28" s="8">
        <v>0</v>
      </c>
      <c r="N28" s="8">
        <f t="shared" si="5"/>
        <v>22935.389999999996</v>
      </c>
      <c r="O28" s="8">
        <f t="shared" si="6"/>
        <v>0</v>
      </c>
      <c r="P28" s="8">
        <f t="shared" si="7"/>
        <v>22935.389999999996</v>
      </c>
      <c r="Q28" s="17">
        <f t="shared" si="8"/>
        <v>0</v>
      </c>
      <c r="R28" s="11">
        <f t="shared" si="9"/>
        <v>9212.76</v>
      </c>
      <c r="S28" s="11">
        <v>0</v>
      </c>
      <c r="T28" s="11">
        <f t="shared" si="0"/>
        <v>9212.76</v>
      </c>
      <c r="U28" s="11">
        <f t="shared" si="10"/>
        <v>0</v>
      </c>
      <c r="V28" s="11">
        <f t="shared" si="1"/>
        <v>9212.76</v>
      </c>
    </row>
    <row r="29" spans="1:22" x14ac:dyDescent="0.3">
      <c r="A29" s="6">
        <v>46292</v>
      </c>
      <c r="B29" s="7" t="s">
        <v>54</v>
      </c>
      <c r="D29" s="14">
        <f t="shared" si="11"/>
        <v>21619.739999999998</v>
      </c>
      <c r="E29" s="14">
        <v>0</v>
      </c>
      <c r="F29" s="14">
        <f t="shared" si="2"/>
        <v>21619.739999999998</v>
      </c>
      <c r="G29" s="14">
        <f t="shared" si="14"/>
        <v>0</v>
      </c>
      <c r="H29" s="14">
        <f t="shared" si="4"/>
        <v>21619.739999999998</v>
      </c>
      <c r="K29" s="16">
        <f t="shared" si="12"/>
        <v>0</v>
      </c>
      <c r="L29" s="8">
        <f t="shared" si="13"/>
        <v>22935.389999999996</v>
      </c>
      <c r="M29" s="8">
        <v>0</v>
      </c>
      <c r="N29" s="8">
        <f t="shared" si="5"/>
        <v>22935.389999999996</v>
      </c>
      <c r="O29" s="8">
        <f t="shared" si="6"/>
        <v>0</v>
      </c>
      <c r="P29" s="8">
        <f t="shared" si="7"/>
        <v>22935.389999999996</v>
      </c>
      <c r="Q29" s="17">
        <f t="shared" si="8"/>
        <v>0</v>
      </c>
      <c r="R29" s="11">
        <f t="shared" si="9"/>
        <v>9212.76</v>
      </c>
      <c r="S29" s="11">
        <v>0</v>
      </c>
      <c r="T29" s="11">
        <f t="shared" si="0"/>
        <v>9212.76</v>
      </c>
      <c r="U29" s="11">
        <f t="shared" si="10"/>
        <v>0</v>
      </c>
      <c r="V29" s="11">
        <f t="shared" si="1"/>
        <v>9212.76</v>
      </c>
    </row>
    <row r="30" spans="1:22" x14ac:dyDescent="0.3">
      <c r="A30" s="6">
        <v>46293</v>
      </c>
      <c r="B30" s="7" t="s">
        <v>55</v>
      </c>
      <c r="D30" s="14">
        <f t="shared" si="11"/>
        <v>21619.739999999998</v>
      </c>
      <c r="E30" s="14">
        <v>0</v>
      </c>
      <c r="F30" s="14">
        <f t="shared" si="2"/>
        <v>21619.739999999998</v>
      </c>
      <c r="G30" s="14">
        <f t="shared" si="14"/>
        <v>0</v>
      </c>
      <c r="H30" s="14">
        <f t="shared" si="4"/>
        <v>21619.739999999998</v>
      </c>
      <c r="K30" s="16">
        <f t="shared" si="12"/>
        <v>0</v>
      </c>
      <c r="L30" s="8">
        <f t="shared" si="13"/>
        <v>22935.389999999996</v>
      </c>
      <c r="M30" s="8">
        <v>0</v>
      </c>
      <c r="N30" s="8">
        <f t="shared" si="5"/>
        <v>22935.389999999996</v>
      </c>
      <c r="O30" s="8">
        <f t="shared" si="6"/>
        <v>0</v>
      </c>
      <c r="P30" s="8">
        <f t="shared" si="7"/>
        <v>22935.389999999996</v>
      </c>
      <c r="Q30" s="17">
        <f t="shared" si="8"/>
        <v>0</v>
      </c>
      <c r="R30" s="11">
        <f t="shared" si="9"/>
        <v>9212.76</v>
      </c>
      <c r="S30" s="11">
        <v>0</v>
      </c>
      <c r="T30" s="11">
        <f t="shared" si="0"/>
        <v>9212.76</v>
      </c>
      <c r="U30" s="11">
        <f t="shared" si="10"/>
        <v>0</v>
      </c>
      <c r="V30" s="11">
        <f t="shared" si="1"/>
        <v>9212.76</v>
      </c>
    </row>
    <row r="31" spans="1:22" x14ac:dyDescent="0.3">
      <c r="A31" s="6">
        <v>46294</v>
      </c>
      <c r="B31" s="7" t="s">
        <v>49</v>
      </c>
      <c r="D31" s="14">
        <f t="shared" si="11"/>
        <v>21619.739999999998</v>
      </c>
      <c r="E31" s="14">
        <v>0</v>
      </c>
      <c r="F31" s="14">
        <f t="shared" si="2"/>
        <v>21619.739999999998</v>
      </c>
      <c r="G31" s="14">
        <f t="shared" si="14"/>
        <v>0</v>
      </c>
      <c r="H31" s="14">
        <f t="shared" si="4"/>
        <v>21619.739999999998</v>
      </c>
      <c r="K31" s="16">
        <f t="shared" si="12"/>
        <v>0</v>
      </c>
      <c r="L31" s="8">
        <f t="shared" si="13"/>
        <v>22935.389999999996</v>
      </c>
      <c r="M31" s="8">
        <v>0</v>
      </c>
      <c r="N31" s="8">
        <f t="shared" si="5"/>
        <v>22935.389999999996</v>
      </c>
      <c r="O31" s="8">
        <f t="shared" si="6"/>
        <v>0</v>
      </c>
      <c r="P31" s="8">
        <f t="shared" si="7"/>
        <v>22935.389999999996</v>
      </c>
      <c r="Q31" s="17">
        <f t="shared" si="8"/>
        <v>0</v>
      </c>
      <c r="R31" s="11">
        <f t="shared" si="9"/>
        <v>9212.76</v>
      </c>
      <c r="S31" s="11">
        <v>0</v>
      </c>
      <c r="T31" s="11">
        <f t="shared" si="0"/>
        <v>9212.76</v>
      </c>
      <c r="U31" s="11">
        <f t="shared" si="10"/>
        <v>0</v>
      </c>
      <c r="V31" s="11">
        <f t="shared" si="1"/>
        <v>9212.76</v>
      </c>
    </row>
    <row r="32" spans="1:22" x14ac:dyDescent="0.3">
      <c r="A32" s="6">
        <v>46295</v>
      </c>
      <c r="B32" s="7" t="s">
        <v>50</v>
      </c>
      <c r="D32" s="14">
        <f t="shared" si="11"/>
        <v>21619.739999999998</v>
      </c>
      <c r="E32" s="14">
        <v>0</v>
      </c>
      <c r="F32" s="14">
        <f t="shared" si="2"/>
        <v>21619.739999999998</v>
      </c>
      <c r="G32" s="14">
        <f t="shared" si="14"/>
        <v>0</v>
      </c>
      <c r="H32" s="14">
        <f t="shared" si="4"/>
        <v>21619.739999999998</v>
      </c>
      <c r="K32" s="16">
        <f t="shared" si="12"/>
        <v>0</v>
      </c>
      <c r="L32" s="8">
        <f t="shared" si="13"/>
        <v>22935.389999999996</v>
      </c>
      <c r="M32" s="8">
        <v>0</v>
      </c>
      <c r="N32" s="8">
        <f t="shared" si="5"/>
        <v>22935.389999999996</v>
      </c>
      <c r="O32" s="8">
        <f t="shared" si="6"/>
        <v>0</v>
      </c>
      <c r="P32" s="8">
        <f t="shared" si="7"/>
        <v>22935.389999999996</v>
      </c>
      <c r="Q32" s="17">
        <f t="shared" si="8"/>
        <v>0</v>
      </c>
      <c r="R32" s="11">
        <f t="shared" si="9"/>
        <v>9212.76</v>
      </c>
      <c r="S32" s="11">
        <v>0</v>
      </c>
      <c r="T32" s="11">
        <f t="shared" si="0"/>
        <v>9212.76</v>
      </c>
      <c r="U32" s="11">
        <f t="shared" si="10"/>
        <v>0</v>
      </c>
      <c r="V32" s="11">
        <f t="shared" si="1"/>
        <v>9212.76</v>
      </c>
    </row>
    <row r="33" spans="1:22" x14ac:dyDescent="0.3">
      <c r="A33" s="6">
        <v>46296</v>
      </c>
      <c r="B33" s="7" t="s">
        <v>51</v>
      </c>
      <c r="D33" s="14">
        <f t="shared" si="11"/>
        <v>21619.739999999998</v>
      </c>
      <c r="E33" s="14">
        <v>0</v>
      </c>
      <c r="F33" s="14">
        <f t="shared" si="2"/>
        <v>21619.739999999998</v>
      </c>
      <c r="G33" s="14">
        <f t="shared" si="14"/>
        <v>0</v>
      </c>
      <c r="H33" s="14">
        <f t="shared" si="4"/>
        <v>21619.739999999998</v>
      </c>
      <c r="K33" s="16">
        <f t="shared" si="12"/>
        <v>0</v>
      </c>
      <c r="L33" s="8">
        <f t="shared" si="13"/>
        <v>22935.389999999996</v>
      </c>
      <c r="M33" s="8">
        <v>0</v>
      </c>
      <c r="N33" s="8">
        <f t="shared" si="5"/>
        <v>22935.389999999996</v>
      </c>
      <c r="O33" s="8">
        <f t="shared" si="6"/>
        <v>0</v>
      </c>
      <c r="P33" s="8">
        <f t="shared" si="7"/>
        <v>22935.389999999996</v>
      </c>
      <c r="Q33" s="17">
        <f t="shared" si="8"/>
        <v>0</v>
      </c>
      <c r="R33" s="11">
        <f t="shared" si="9"/>
        <v>9212.76</v>
      </c>
      <c r="S33" s="11">
        <v>0</v>
      </c>
      <c r="T33" s="11">
        <f t="shared" si="0"/>
        <v>9212.76</v>
      </c>
      <c r="U33" s="11">
        <f t="shared" si="10"/>
        <v>0</v>
      </c>
      <c r="V33" s="11">
        <f t="shared" si="1"/>
        <v>9212.76</v>
      </c>
    </row>
    <row r="34" spans="1:22" x14ac:dyDescent="0.3">
      <c r="G34" s="14">
        <f t="shared" si="14"/>
        <v>0</v>
      </c>
    </row>
  </sheetData>
  <mergeCells count="10">
    <mergeCell ref="L1:P1"/>
    <mergeCell ref="J1:J2"/>
    <mergeCell ref="R1:V1"/>
    <mergeCell ref="K1:K2"/>
    <mergeCell ref="Q1:Q2"/>
    <mergeCell ref="A1:A2"/>
    <mergeCell ref="B1:B2"/>
    <mergeCell ref="C1:C2"/>
    <mergeCell ref="D1:H1"/>
    <mergeCell ref="I1:I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3"/>
  <sheetViews>
    <sheetView topLeftCell="A14" zoomScaleNormal="100" workbookViewId="0">
      <selection activeCell="Q3" sqref="Q3:Q33"/>
    </sheetView>
  </sheetViews>
  <sheetFormatPr defaultColWidth="8.88671875" defaultRowHeight="14.4" x14ac:dyDescent="0.3"/>
  <cols>
    <col min="1" max="1" width="10.33203125" style="1" customWidth="1"/>
    <col min="2" max="2" width="10.44140625" style="1" bestFit="1" customWidth="1"/>
    <col min="3" max="3" width="5.88671875" style="7" bestFit="1" customWidth="1"/>
    <col min="4" max="4" width="10.6640625" style="2" customWidth="1"/>
    <col min="5" max="5" width="6.33203125" style="2" bestFit="1" customWidth="1"/>
    <col min="6" max="6" width="6.6640625" style="2" bestFit="1" customWidth="1"/>
    <col min="7" max="7" width="11.33203125" style="2" bestFit="1" customWidth="1"/>
    <col min="8" max="8" width="7.44140625" style="2" bestFit="1" customWidth="1"/>
    <col min="9" max="9" width="10.5546875" style="3" customWidth="1"/>
    <col min="10" max="10" width="6.33203125" style="3" bestFit="1" customWidth="1"/>
    <col min="11" max="11" width="5.33203125" style="3" bestFit="1" customWidth="1"/>
    <col min="12" max="12" width="11.33203125" style="3" bestFit="1" customWidth="1"/>
    <col min="13" max="13" width="7.44140625" style="3" bestFit="1" customWidth="1"/>
    <col min="14" max="14" width="11" style="4" customWidth="1"/>
    <col min="15" max="15" width="6.33203125" style="4" bestFit="1" customWidth="1"/>
    <col min="16" max="16" width="5.33203125" style="4" bestFit="1" customWidth="1"/>
    <col min="17" max="17" width="11.33203125" style="4" bestFit="1" customWidth="1"/>
    <col min="18" max="18" width="7.44140625" style="4" bestFit="1" customWidth="1"/>
    <col min="19" max="19" width="10.88671875" style="9" customWidth="1"/>
    <col min="20" max="20" width="6.33203125" style="9" bestFit="1" customWidth="1"/>
    <col min="21" max="21" width="5.33203125" style="9" bestFit="1" customWidth="1"/>
    <col min="22" max="22" width="11.33203125" style="9" bestFit="1" customWidth="1"/>
    <col min="23" max="23" width="8" style="9" bestFit="1" customWidth="1"/>
    <col min="24" max="16384" width="8.88671875" style="1"/>
  </cols>
  <sheetData>
    <row r="1" spans="1:23" x14ac:dyDescent="0.3">
      <c r="A1" s="18" t="s">
        <v>0</v>
      </c>
      <c r="B1" s="18" t="s">
        <v>6</v>
      </c>
      <c r="C1" s="18" t="s">
        <v>7</v>
      </c>
      <c r="D1" s="29" t="s">
        <v>8</v>
      </c>
      <c r="E1" s="29"/>
      <c r="F1" s="29"/>
      <c r="G1" s="29"/>
      <c r="H1" s="29"/>
      <c r="I1" s="30" t="s">
        <v>11</v>
      </c>
      <c r="J1" s="30"/>
      <c r="K1" s="30"/>
      <c r="L1" s="30"/>
      <c r="M1" s="30"/>
      <c r="N1" s="27" t="s">
        <v>42</v>
      </c>
      <c r="O1" s="27"/>
      <c r="P1" s="27"/>
      <c r="Q1" s="27"/>
      <c r="R1" s="27"/>
      <c r="S1" s="31"/>
      <c r="T1" s="31"/>
      <c r="U1" s="31"/>
      <c r="V1" s="31"/>
      <c r="W1" s="31"/>
    </row>
    <row r="2" spans="1:23" x14ac:dyDescent="0.3">
      <c r="A2" s="18"/>
      <c r="B2" s="18"/>
      <c r="C2" s="18"/>
      <c r="D2" s="2" t="s">
        <v>25</v>
      </c>
      <c r="E2" s="2" t="s">
        <v>10</v>
      </c>
      <c r="F2" s="2" t="s">
        <v>3</v>
      </c>
      <c r="G2" s="2" t="s">
        <v>4</v>
      </c>
      <c r="H2" s="2" t="s">
        <v>5</v>
      </c>
      <c r="I2" s="3" t="s">
        <v>26</v>
      </c>
      <c r="J2" s="3" t="s">
        <v>10</v>
      </c>
      <c r="K2" s="3" t="s">
        <v>3</v>
      </c>
      <c r="L2" s="3" t="s">
        <v>4</v>
      </c>
      <c r="M2" s="3" t="s">
        <v>5</v>
      </c>
      <c r="N2" s="4" t="s">
        <v>26</v>
      </c>
      <c r="O2" s="4" t="s">
        <v>10</v>
      </c>
      <c r="P2" s="4" t="s">
        <v>3</v>
      </c>
      <c r="Q2" s="4" t="s">
        <v>4</v>
      </c>
      <c r="R2" s="4" t="s">
        <v>5</v>
      </c>
      <c r="S2" s="10"/>
      <c r="T2" s="10"/>
      <c r="U2" s="10"/>
      <c r="V2" s="10"/>
      <c r="W2" s="10"/>
    </row>
    <row r="3" spans="1:23" x14ac:dyDescent="0.3">
      <c r="A3" s="6">
        <v>45717</v>
      </c>
      <c r="B3" s="7" t="s">
        <v>37</v>
      </c>
      <c r="C3" s="7">
        <v>85</v>
      </c>
      <c r="D3" s="2">
        <v>176.25</v>
      </c>
      <c r="E3" s="2">
        <v>0</v>
      </c>
      <c r="F3" s="2">
        <f>SUM(D3,E3)</f>
        <v>176.25</v>
      </c>
      <c r="G3" s="2">
        <f>PRODUCT(C3 * 150)/1000</f>
        <v>12.75</v>
      </c>
      <c r="H3" s="2">
        <f>(F3-G3)</f>
        <v>163.5</v>
      </c>
      <c r="I3" s="3">
        <v>141.88</v>
      </c>
      <c r="J3" s="3">
        <v>0</v>
      </c>
      <c r="K3" s="3">
        <f>SUM(I3,J3)</f>
        <v>141.88</v>
      </c>
      <c r="L3" s="3">
        <v>0</v>
      </c>
      <c r="M3" s="3">
        <f>(K3-L3)</f>
        <v>141.88</v>
      </c>
      <c r="N3" s="4">
        <v>15.355</v>
      </c>
      <c r="O3" s="4">
        <v>0</v>
      </c>
      <c r="P3" s="4">
        <f>SUM(N3,O3)</f>
        <v>15.355</v>
      </c>
      <c r="Q3" s="4">
        <f>PRODUCT(C3 * 76.5)/1000</f>
        <v>6.5025000000000004</v>
      </c>
      <c r="R3" s="4">
        <f>(P3-Q3)</f>
        <v>8.8524999999999991</v>
      </c>
    </row>
    <row r="4" spans="1:23" x14ac:dyDescent="0.3">
      <c r="A4" s="6">
        <v>45718</v>
      </c>
      <c r="B4" s="7" t="s">
        <v>38</v>
      </c>
      <c r="C4" s="7">
        <v>0</v>
      </c>
      <c r="D4" s="2">
        <f>IF(ISNUMBER(VALUE(H3)),H3,0)</f>
        <v>163.5</v>
      </c>
      <c r="E4" s="2">
        <v>0</v>
      </c>
      <c r="F4" s="2">
        <f t="shared" ref="F4:F33" si="0">SUM(D4,E4)</f>
        <v>163.5</v>
      </c>
      <c r="G4" s="2">
        <f t="shared" ref="G4:G33" si="1">PRODUCT(C4 * 150)/1000</f>
        <v>0</v>
      </c>
      <c r="H4" s="2">
        <f t="shared" ref="H4:H33" si="2">(F4-G4)</f>
        <v>163.5</v>
      </c>
      <c r="I4" s="3">
        <f>IF(ISNUMBER(VALUE(M3)),M3,0)</f>
        <v>141.88</v>
      </c>
      <c r="K4" s="3">
        <f t="shared" ref="K4:K33" si="3">SUM(I4,J4)</f>
        <v>141.88</v>
      </c>
      <c r="L4" s="3">
        <f t="shared" ref="L4:L33" si="4">PRODUCT(C4 * 30)/1000</f>
        <v>0</v>
      </c>
      <c r="M4" s="3">
        <f t="shared" ref="M4:M33" si="5">(K4-L4)</f>
        <v>141.88</v>
      </c>
      <c r="N4" s="4">
        <f>IF(ISNUMBER(VALUE(R3)),R3,0)</f>
        <v>8.8524999999999991</v>
      </c>
      <c r="O4" s="4">
        <v>0</v>
      </c>
      <c r="P4" s="4">
        <f t="shared" ref="P4:P33" si="6">SUM(N4,O4)</f>
        <v>8.8524999999999991</v>
      </c>
      <c r="Q4" s="4">
        <f t="shared" ref="Q4:Q33" si="7">PRODUCT(C4 * 76.5)/1000</f>
        <v>0</v>
      </c>
      <c r="R4" s="4">
        <f t="shared" ref="R4:R33" si="8">(P4-Q4)</f>
        <v>8.8524999999999991</v>
      </c>
    </row>
    <row r="5" spans="1:23" x14ac:dyDescent="0.3">
      <c r="A5" s="6">
        <v>45719</v>
      </c>
      <c r="B5" s="7" t="s">
        <v>23</v>
      </c>
      <c r="C5" s="7">
        <v>89</v>
      </c>
      <c r="D5" s="2">
        <f t="shared" ref="D5:D33" si="9">IF(ISNUMBER(VALUE(H4)),H4,0)</f>
        <v>163.5</v>
      </c>
      <c r="F5" s="2">
        <f t="shared" si="0"/>
        <v>163.5</v>
      </c>
      <c r="G5" s="2">
        <f t="shared" si="1"/>
        <v>13.35</v>
      </c>
      <c r="H5" s="2">
        <f t="shared" si="2"/>
        <v>150.15</v>
      </c>
      <c r="I5" s="3">
        <f>IF(ISNUMBER(VALUE(M4)),M4,0)</f>
        <v>141.88</v>
      </c>
      <c r="K5" s="3">
        <f t="shared" si="3"/>
        <v>141.88</v>
      </c>
      <c r="L5" s="3">
        <f t="shared" si="4"/>
        <v>2.67</v>
      </c>
      <c r="M5" s="3">
        <f t="shared" si="5"/>
        <v>139.21</v>
      </c>
      <c r="N5" s="4">
        <f t="shared" ref="N5:N33" si="10">IF(ISNUMBER(VALUE(R4)),R4,0)</f>
        <v>8.8524999999999991</v>
      </c>
      <c r="O5" s="4">
        <v>0</v>
      </c>
      <c r="P5" s="4">
        <f t="shared" si="6"/>
        <v>8.8524999999999991</v>
      </c>
      <c r="Q5" s="4">
        <f t="shared" si="7"/>
        <v>6.8085000000000004</v>
      </c>
      <c r="R5" s="4">
        <f t="shared" si="8"/>
        <v>2.0439999999999987</v>
      </c>
    </row>
    <row r="6" spans="1:23" x14ac:dyDescent="0.3">
      <c r="A6" s="6">
        <v>45720</v>
      </c>
      <c r="B6" s="7" t="s">
        <v>24</v>
      </c>
      <c r="C6" s="7">
        <v>88</v>
      </c>
      <c r="D6" s="2">
        <f t="shared" si="9"/>
        <v>150.15</v>
      </c>
      <c r="F6" s="2">
        <f t="shared" si="0"/>
        <v>150.15</v>
      </c>
      <c r="G6" s="2">
        <f t="shared" si="1"/>
        <v>13.2</v>
      </c>
      <c r="H6" s="2">
        <f t="shared" si="2"/>
        <v>136.95000000000002</v>
      </c>
      <c r="I6" s="3">
        <f t="shared" ref="I6:I33" si="11">IF(ISNUMBER(VALUE(M5)),M5,0)</f>
        <v>139.21</v>
      </c>
      <c r="K6" s="3">
        <f t="shared" si="3"/>
        <v>139.21</v>
      </c>
      <c r="L6" s="3">
        <f t="shared" si="4"/>
        <v>2.64</v>
      </c>
      <c r="M6" s="3">
        <f t="shared" si="5"/>
        <v>136.57000000000002</v>
      </c>
      <c r="N6" s="4">
        <f t="shared" si="10"/>
        <v>2.0439999999999987</v>
      </c>
      <c r="O6" s="4">
        <v>0</v>
      </c>
      <c r="P6" s="4">
        <f t="shared" si="6"/>
        <v>2.0439999999999987</v>
      </c>
      <c r="Q6" s="4">
        <f t="shared" si="7"/>
        <v>6.7320000000000002</v>
      </c>
      <c r="R6" s="4">
        <f t="shared" si="8"/>
        <v>-4.6880000000000015</v>
      </c>
    </row>
    <row r="7" spans="1:23" x14ac:dyDescent="0.3">
      <c r="A7" s="6">
        <v>45721</v>
      </c>
      <c r="B7" s="7" t="s">
        <v>39</v>
      </c>
      <c r="C7" s="7">
        <v>83</v>
      </c>
      <c r="D7" s="2">
        <f>IF(ISNUMBER(VALUE(H6)),H6,0)</f>
        <v>136.95000000000002</v>
      </c>
      <c r="F7" s="2">
        <f t="shared" si="0"/>
        <v>136.95000000000002</v>
      </c>
      <c r="G7" s="2">
        <f t="shared" si="1"/>
        <v>12.45</v>
      </c>
      <c r="H7" s="2">
        <f t="shared" si="2"/>
        <v>124.50000000000001</v>
      </c>
      <c r="I7" s="3">
        <f t="shared" si="11"/>
        <v>136.57000000000002</v>
      </c>
      <c r="K7" s="3">
        <f t="shared" si="3"/>
        <v>136.57000000000002</v>
      </c>
      <c r="L7" s="3">
        <f t="shared" si="4"/>
        <v>2.4900000000000002</v>
      </c>
      <c r="M7" s="3">
        <f t="shared" si="5"/>
        <v>134.08000000000001</v>
      </c>
      <c r="N7" s="4">
        <f t="shared" si="10"/>
        <v>-4.6880000000000015</v>
      </c>
      <c r="O7" s="4">
        <v>0</v>
      </c>
      <c r="P7" s="4">
        <f t="shared" si="6"/>
        <v>-4.6880000000000015</v>
      </c>
      <c r="Q7" s="4">
        <f t="shared" si="7"/>
        <v>6.3494999999999999</v>
      </c>
      <c r="R7" s="4">
        <f t="shared" si="8"/>
        <v>-11.037500000000001</v>
      </c>
    </row>
    <row r="8" spans="1:23" x14ac:dyDescent="0.3">
      <c r="A8" s="6">
        <v>45722</v>
      </c>
      <c r="B8" s="7" t="s">
        <v>40</v>
      </c>
      <c r="C8" s="7">
        <v>78</v>
      </c>
      <c r="D8" s="2">
        <f t="shared" si="9"/>
        <v>124.50000000000001</v>
      </c>
      <c r="F8" s="2">
        <f t="shared" si="0"/>
        <v>124.50000000000001</v>
      </c>
      <c r="G8" s="2">
        <f t="shared" si="1"/>
        <v>11.7</v>
      </c>
      <c r="H8" s="2">
        <f t="shared" si="2"/>
        <v>112.80000000000001</v>
      </c>
      <c r="I8" s="3">
        <f t="shared" si="11"/>
        <v>134.08000000000001</v>
      </c>
      <c r="K8" s="3">
        <f t="shared" si="3"/>
        <v>134.08000000000001</v>
      </c>
      <c r="L8" s="3">
        <f t="shared" si="4"/>
        <v>2.34</v>
      </c>
      <c r="M8" s="3">
        <f t="shared" si="5"/>
        <v>131.74</v>
      </c>
      <c r="N8" s="4">
        <f t="shared" si="10"/>
        <v>-11.037500000000001</v>
      </c>
      <c r="O8" s="4">
        <v>0</v>
      </c>
      <c r="P8" s="4">
        <f t="shared" si="6"/>
        <v>-11.037500000000001</v>
      </c>
      <c r="Q8" s="4">
        <f t="shared" si="7"/>
        <v>5.9669999999999996</v>
      </c>
      <c r="R8" s="4">
        <f t="shared" si="8"/>
        <v>-17.0045</v>
      </c>
    </row>
    <row r="9" spans="1:23" x14ac:dyDescent="0.3">
      <c r="A9" s="6">
        <v>45723</v>
      </c>
      <c r="B9" s="7" t="s">
        <v>41</v>
      </c>
      <c r="C9" s="7">
        <v>86</v>
      </c>
      <c r="D9" s="2">
        <f t="shared" si="9"/>
        <v>112.80000000000001</v>
      </c>
      <c r="F9" s="2">
        <f t="shared" si="0"/>
        <v>112.80000000000001</v>
      </c>
      <c r="G9" s="2">
        <f t="shared" si="1"/>
        <v>12.9</v>
      </c>
      <c r="H9" s="2">
        <f t="shared" si="2"/>
        <v>99.9</v>
      </c>
      <c r="I9" s="3">
        <f t="shared" si="11"/>
        <v>131.74</v>
      </c>
      <c r="K9" s="3">
        <f t="shared" si="3"/>
        <v>131.74</v>
      </c>
      <c r="L9" s="3">
        <f t="shared" si="4"/>
        <v>2.58</v>
      </c>
      <c r="M9" s="3">
        <f t="shared" si="5"/>
        <v>129.16</v>
      </c>
      <c r="N9" s="4">
        <f t="shared" si="10"/>
        <v>-17.0045</v>
      </c>
      <c r="O9" s="4">
        <v>0</v>
      </c>
      <c r="P9" s="4">
        <f t="shared" si="6"/>
        <v>-17.0045</v>
      </c>
      <c r="Q9" s="4">
        <f t="shared" si="7"/>
        <v>6.5789999999999997</v>
      </c>
      <c r="R9" s="4">
        <f t="shared" si="8"/>
        <v>-23.583500000000001</v>
      </c>
    </row>
    <row r="10" spans="1:23" x14ac:dyDescent="0.3">
      <c r="A10" s="6">
        <v>45724</v>
      </c>
      <c r="B10" s="7" t="s">
        <v>37</v>
      </c>
      <c r="D10" s="2">
        <f t="shared" si="9"/>
        <v>99.9</v>
      </c>
      <c r="F10" s="2">
        <f t="shared" si="0"/>
        <v>99.9</v>
      </c>
      <c r="G10" s="2">
        <f t="shared" si="1"/>
        <v>0</v>
      </c>
      <c r="H10" s="2">
        <f t="shared" si="2"/>
        <v>99.9</v>
      </c>
      <c r="I10" s="3">
        <f t="shared" si="11"/>
        <v>129.16</v>
      </c>
      <c r="K10" s="3">
        <f t="shared" si="3"/>
        <v>129.16</v>
      </c>
      <c r="L10" s="3">
        <f t="shared" si="4"/>
        <v>0</v>
      </c>
      <c r="M10" s="3">
        <f t="shared" si="5"/>
        <v>129.16</v>
      </c>
      <c r="N10" s="4">
        <f t="shared" si="10"/>
        <v>-23.583500000000001</v>
      </c>
      <c r="O10" s="4">
        <v>0</v>
      </c>
      <c r="P10" s="4">
        <f t="shared" si="6"/>
        <v>-23.583500000000001</v>
      </c>
      <c r="Q10" s="4">
        <f t="shared" si="7"/>
        <v>0</v>
      </c>
      <c r="R10" s="4">
        <f t="shared" si="8"/>
        <v>-23.583500000000001</v>
      </c>
    </row>
    <row r="11" spans="1:23" x14ac:dyDescent="0.3">
      <c r="A11" s="6">
        <v>45725</v>
      </c>
      <c r="B11" s="7" t="s">
        <v>38</v>
      </c>
      <c r="D11" s="2">
        <f t="shared" si="9"/>
        <v>99.9</v>
      </c>
      <c r="F11" s="2">
        <f t="shared" si="0"/>
        <v>99.9</v>
      </c>
      <c r="G11" s="2">
        <f t="shared" si="1"/>
        <v>0</v>
      </c>
      <c r="H11" s="2">
        <f t="shared" si="2"/>
        <v>99.9</v>
      </c>
      <c r="I11" s="3">
        <f t="shared" si="11"/>
        <v>129.16</v>
      </c>
      <c r="K11" s="3">
        <f t="shared" si="3"/>
        <v>129.16</v>
      </c>
      <c r="L11" s="3">
        <f t="shared" si="4"/>
        <v>0</v>
      </c>
      <c r="M11" s="3">
        <f t="shared" si="5"/>
        <v>129.16</v>
      </c>
      <c r="N11" s="4">
        <f t="shared" si="10"/>
        <v>-23.583500000000001</v>
      </c>
      <c r="O11" s="4">
        <v>0</v>
      </c>
      <c r="P11" s="4">
        <f t="shared" si="6"/>
        <v>-23.583500000000001</v>
      </c>
      <c r="Q11" s="4">
        <f t="shared" si="7"/>
        <v>0</v>
      </c>
      <c r="R11" s="4">
        <f t="shared" si="8"/>
        <v>-23.583500000000001</v>
      </c>
    </row>
    <row r="12" spans="1:23" x14ac:dyDescent="0.3">
      <c r="A12" s="6">
        <v>45726</v>
      </c>
      <c r="B12" s="7" t="s">
        <v>23</v>
      </c>
      <c r="D12" s="2">
        <f t="shared" si="9"/>
        <v>99.9</v>
      </c>
      <c r="F12" s="2">
        <f t="shared" si="0"/>
        <v>99.9</v>
      </c>
      <c r="G12" s="2">
        <f t="shared" si="1"/>
        <v>0</v>
      </c>
      <c r="H12" s="2">
        <f t="shared" si="2"/>
        <v>99.9</v>
      </c>
      <c r="I12" s="3">
        <f>IF(ISNUMBER(VALUE(M11)),M11,0)</f>
        <v>129.16</v>
      </c>
      <c r="K12" s="3">
        <f t="shared" si="3"/>
        <v>129.16</v>
      </c>
      <c r="L12" s="3">
        <f t="shared" si="4"/>
        <v>0</v>
      </c>
      <c r="M12" s="3">
        <f t="shared" si="5"/>
        <v>129.16</v>
      </c>
      <c r="N12" s="4">
        <f t="shared" si="10"/>
        <v>-23.583500000000001</v>
      </c>
      <c r="O12" s="4">
        <v>0</v>
      </c>
      <c r="P12" s="4">
        <f t="shared" si="6"/>
        <v>-23.583500000000001</v>
      </c>
      <c r="Q12" s="4">
        <f t="shared" si="7"/>
        <v>0</v>
      </c>
      <c r="R12" s="4">
        <f t="shared" si="8"/>
        <v>-23.583500000000001</v>
      </c>
    </row>
    <row r="13" spans="1:23" x14ac:dyDescent="0.3">
      <c r="A13" s="6">
        <v>45727</v>
      </c>
      <c r="B13" s="7" t="s">
        <v>24</v>
      </c>
      <c r="D13" s="2">
        <f t="shared" si="9"/>
        <v>99.9</v>
      </c>
      <c r="F13" s="2">
        <f t="shared" si="0"/>
        <v>99.9</v>
      </c>
      <c r="G13" s="2">
        <f t="shared" si="1"/>
        <v>0</v>
      </c>
      <c r="H13" s="2">
        <f t="shared" si="2"/>
        <v>99.9</v>
      </c>
      <c r="I13" s="3">
        <f>IF(ISNUMBER(VALUE(M12)),M12,0)</f>
        <v>129.16</v>
      </c>
      <c r="K13" s="3">
        <f t="shared" si="3"/>
        <v>129.16</v>
      </c>
      <c r="L13" s="3">
        <f t="shared" si="4"/>
        <v>0</v>
      </c>
      <c r="M13" s="3">
        <f t="shared" si="5"/>
        <v>129.16</v>
      </c>
      <c r="N13" s="4">
        <f t="shared" si="10"/>
        <v>-23.583500000000001</v>
      </c>
      <c r="O13" s="4">
        <v>0</v>
      </c>
      <c r="P13" s="4">
        <f t="shared" si="6"/>
        <v>-23.583500000000001</v>
      </c>
      <c r="Q13" s="4">
        <f t="shared" si="7"/>
        <v>0</v>
      </c>
      <c r="R13" s="4">
        <f t="shared" si="8"/>
        <v>-23.583500000000001</v>
      </c>
    </row>
    <row r="14" spans="1:23" x14ac:dyDescent="0.3">
      <c r="A14" s="6">
        <v>45728</v>
      </c>
      <c r="B14" s="7" t="s">
        <v>39</v>
      </c>
      <c r="D14" s="2">
        <f t="shared" si="9"/>
        <v>99.9</v>
      </c>
      <c r="F14" s="2">
        <f t="shared" si="0"/>
        <v>99.9</v>
      </c>
      <c r="G14" s="2">
        <f t="shared" si="1"/>
        <v>0</v>
      </c>
      <c r="H14" s="2">
        <f t="shared" si="2"/>
        <v>99.9</v>
      </c>
      <c r="I14" s="3">
        <f t="shared" si="11"/>
        <v>129.16</v>
      </c>
      <c r="K14" s="3">
        <f t="shared" si="3"/>
        <v>129.16</v>
      </c>
      <c r="L14" s="3">
        <f t="shared" si="4"/>
        <v>0</v>
      </c>
      <c r="M14" s="3">
        <f t="shared" si="5"/>
        <v>129.16</v>
      </c>
      <c r="N14" s="4">
        <f t="shared" si="10"/>
        <v>-23.583500000000001</v>
      </c>
      <c r="O14" s="4">
        <v>0</v>
      </c>
      <c r="P14" s="4">
        <f t="shared" si="6"/>
        <v>-23.583500000000001</v>
      </c>
      <c r="Q14" s="4">
        <f t="shared" si="7"/>
        <v>0</v>
      </c>
      <c r="R14" s="4">
        <f t="shared" si="8"/>
        <v>-23.583500000000001</v>
      </c>
    </row>
    <row r="15" spans="1:23" x14ac:dyDescent="0.3">
      <c r="A15" s="6">
        <v>45729</v>
      </c>
      <c r="B15" s="7" t="s">
        <v>40</v>
      </c>
      <c r="D15" s="2">
        <f t="shared" si="9"/>
        <v>99.9</v>
      </c>
      <c r="F15" s="2">
        <f t="shared" si="0"/>
        <v>99.9</v>
      </c>
      <c r="G15" s="2">
        <f t="shared" si="1"/>
        <v>0</v>
      </c>
      <c r="H15" s="2">
        <f t="shared" si="2"/>
        <v>99.9</v>
      </c>
      <c r="I15" s="3">
        <f t="shared" si="11"/>
        <v>129.16</v>
      </c>
      <c r="K15" s="3">
        <f t="shared" si="3"/>
        <v>129.16</v>
      </c>
      <c r="L15" s="3">
        <f t="shared" si="4"/>
        <v>0</v>
      </c>
      <c r="M15" s="3">
        <f t="shared" si="5"/>
        <v>129.16</v>
      </c>
      <c r="N15" s="4">
        <f t="shared" si="10"/>
        <v>-23.583500000000001</v>
      </c>
      <c r="O15" s="4">
        <v>0</v>
      </c>
      <c r="P15" s="4">
        <f t="shared" si="6"/>
        <v>-23.583500000000001</v>
      </c>
      <c r="Q15" s="4">
        <f t="shared" si="7"/>
        <v>0</v>
      </c>
      <c r="R15" s="4">
        <f t="shared" si="8"/>
        <v>-23.583500000000001</v>
      </c>
    </row>
    <row r="16" spans="1:23" x14ac:dyDescent="0.3">
      <c r="A16" s="6">
        <v>45730</v>
      </c>
      <c r="B16" s="7" t="s">
        <v>41</v>
      </c>
      <c r="D16" s="2">
        <f t="shared" si="9"/>
        <v>99.9</v>
      </c>
      <c r="F16" s="2">
        <f t="shared" si="0"/>
        <v>99.9</v>
      </c>
      <c r="G16" s="2">
        <f t="shared" si="1"/>
        <v>0</v>
      </c>
      <c r="H16" s="2">
        <f t="shared" si="2"/>
        <v>99.9</v>
      </c>
      <c r="I16" s="3">
        <f t="shared" si="11"/>
        <v>129.16</v>
      </c>
      <c r="K16" s="3">
        <f t="shared" si="3"/>
        <v>129.16</v>
      </c>
      <c r="L16" s="3">
        <f t="shared" si="4"/>
        <v>0</v>
      </c>
      <c r="M16" s="3">
        <f t="shared" si="5"/>
        <v>129.16</v>
      </c>
      <c r="N16" s="4">
        <f t="shared" si="10"/>
        <v>-23.583500000000001</v>
      </c>
      <c r="O16" s="4">
        <v>0</v>
      </c>
      <c r="P16" s="4">
        <f t="shared" si="6"/>
        <v>-23.583500000000001</v>
      </c>
      <c r="Q16" s="4">
        <f t="shared" si="7"/>
        <v>0</v>
      </c>
      <c r="R16" s="4">
        <f t="shared" si="8"/>
        <v>-23.583500000000001</v>
      </c>
    </row>
    <row r="17" spans="1:18" x14ac:dyDescent="0.3">
      <c r="A17" s="6">
        <v>45731</v>
      </c>
      <c r="B17" s="7" t="s">
        <v>37</v>
      </c>
      <c r="D17" s="2">
        <f t="shared" si="9"/>
        <v>99.9</v>
      </c>
      <c r="F17" s="2">
        <f t="shared" si="0"/>
        <v>99.9</v>
      </c>
      <c r="G17" s="2">
        <f t="shared" si="1"/>
        <v>0</v>
      </c>
      <c r="H17" s="2">
        <f t="shared" si="2"/>
        <v>99.9</v>
      </c>
      <c r="I17" s="3">
        <f t="shared" si="11"/>
        <v>129.16</v>
      </c>
      <c r="K17" s="3">
        <f t="shared" si="3"/>
        <v>129.16</v>
      </c>
      <c r="L17" s="3">
        <f t="shared" si="4"/>
        <v>0</v>
      </c>
      <c r="M17" s="3">
        <f t="shared" si="5"/>
        <v>129.16</v>
      </c>
      <c r="N17" s="4">
        <f t="shared" si="10"/>
        <v>-23.583500000000001</v>
      </c>
      <c r="O17" s="4">
        <v>0</v>
      </c>
      <c r="P17" s="4">
        <f t="shared" si="6"/>
        <v>-23.583500000000001</v>
      </c>
      <c r="Q17" s="4">
        <f t="shared" si="7"/>
        <v>0</v>
      </c>
      <c r="R17" s="4">
        <f t="shared" si="8"/>
        <v>-23.583500000000001</v>
      </c>
    </row>
    <row r="18" spans="1:18" x14ac:dyDescent="0.3">
      <c r="A18" s="6">
        <v>45732</v>
      </c>
      <c r="B18" s="7" t="s">
        <v>38</v>
      </c>
      <c r="D18" s="2">
        <f t="shared" si="9"/>
        <v>99.9</v>
      </c>
      <c r="F18" s="2">
        <f t="shared" si="0"/>
        <v>99.9</v>
      </c>
      <c r="G18" s="2">
        <f t="shared" si="1"/>
        <v>0</v>
      </c>
      <c r="H18" s="2">
        <f t="shared" si="2"/>
        <v>99.9</v>
      </c>
      <c r="I18" s="3">
        <f t="shared" si="11"/>
        <v>129.16</v>
      </c>
      <c r="K18" s="3">
        <f t="shared" si="3"/>
        <v>129.16</v>
      </c>
      <c r="L18" s="3">
        <f t="shared" si="4"/>
        <v>0</v>
      </c>
      <c r="M18" s="3">
        <f t="shared" si="5"/>
        <v>129.16</v>
      </c>
      <c r="N18" s="4">
        <f t="shared" si="10"/>
        <v>-23.583500000000001</v>
      </c>
      <c r="O18" s="4">
        <v>0</v>
      </c>
      <c r="P18" s="4">
        <f t="shared" si="6"/>
        <v>-23.583500000000001</v>
      </c>
      <c r="Q18" s="4">
        <f t="shared" si="7"/>
        <v>0</v>
      </c>
      <c r="R18" s="4">
        <f t="shared" si="8"/>
        <v>-23.583500000000001</v>
      </c>
    </row>
    <row r="19" spans="1:18" x14ac:dyDescent="0.3">
      <c r="A19" s="6">
        <v>45733</v>
      </c>
      <c r="B19" s="7" t="s">
        <v>23</v>
      </c>
      <c r="D19" s="2">
        <f t="shared" si="9"/>
        <v>99.9</v>
      </c>
      <c r="F19" s="2">
        <f t="shared" si="0"/>
        <v>99.9</v>
      </c>
      <c r="G19" s="2">
        <f t="shared" si="1"/>
        <v>0</v>
      </c>
      <c r="H19" s="2">
        <f t="shared" si="2"/>
        <v>99.9</v>
      </c>
      <c r="I19" s="3">
        <f t="shared" si="11"/>
        <v>129.16</v>
      </c>
      <c r="K19" s="3">
        <f t="shared" si="3"/>
        <v>129.16</v>
      </c>
      <c r="L19" s="3">
        <f t="shared" si="4"/>
        <v>0</v>
      </c>
      <c r="M19" s="3">
        <f t="shared" si="5"/>
        <v>129.16</v>
      </c>
      <c r="N19" s="4">
        <f t="shared" si="10"/>
        <v>-23.583500000000001</v>
      </c>
      <c r="O19" s="4">
        <v>0</v>
      </c>
      <c r="P19" s="4">
        <f t="shared" si="6"/>
        <v>-23.583500000000001</v>
      </c>
      <c r="Q19" s="4">
        <f t="shared" si="7"/>
        <v>0</v>
      </c>
      <c r="R19" s="4">
        <f t="shared" si="8"/>
        <v>-23.583500000000001</v>
      </c>
    </row>
    <row r="20" spans="1:18" x14ac:dyDescent="0.3">
      <c r="A20" s="6">
        <v>45734</v>
      </c>
      <c r="B20" s="7" t="s">
        <v>24</v>
      </c>
      <c r="D20" s="2">
        <f t="shared" si="9"/>
        <v>99.9</v>
      </c>
      <c r="F20" s="2">
        <f t="shared" si="0"/>
        <v>99.9</v>
      </c>
      <c r="G20" s="2">
        <f t="shared" si="1"/>
        <v>0</v>
      </c>
      <c r="H20" s="2">
        <f t="shared" si="2"/>
        <v>99.9</v>
      </c>
      <c r="I20" s="3">
        <f t="shared" si="11"/>
        <v>129.16</v>
      </c>
      <c r="K20" s="3">
        <f t="shared" si="3"/>
        <v>129.16</v>
      </c>
      <c r="L20" s="3">
        <f t="shared" si="4"/>
        <v>0</v>
      </c>
      <c r="M20" s="3">
        <f t="shared" si="5"/>
        <v>129.16</v>
      </c>
      <c r="N20" s="4">
        <f t="shared" si="10"/>
        <v>-23.583500000000001</v>
      </c>
      <c r="O20" s="4">
        <v>0</v>
      </c>
      <c r="P20" s="4">
        <f t="shared" si="6"/>
        <v>-23.583500000000001</v>
      </c>
      <c r="Q20" s="4">
        <f t="shared" si="7"/>
        <v>0</v>
      </c>
      <c r="R20" s="4">
        <f t="shared" si="8"/>
        <v>-23.583500000000001</v>
      </c>
    </row>
    <row r="21" spans="1:18" x14ac:dyDescent="0.3">
      <c r="A21" s="6">
        <v>45735</v>
      </c>
      <c r="B21" s="7" t="s">
        <v>39</v>
      </c>
      <c r="D21" s="2">
        <f t="shared" si="9"/>
        <v>99.9</v>
      </c>
      <c r="F21" s="2">
        <f t="shared" si="0"/>
        <v>99.9</v>
      </c>
      <c r="G21" s="2">
        <f t="shared" si="1"/>
        <v>0</v>
      </c>
      <c r="H21" s="2">
        <f t="shared" si="2"/>
        <v>99.9</v>
      </c>
      <c r="I21" s="3">
        <f t="shared" si="11"/>
        <v>129.16</v>
      </c>
      <c r="K21" s="3">
        <f t="shared" si="3"/>
        <v>129.16</v>
      </c>
      <c r="L21" s="3">
        <f t="shared" si="4"/>
        <v>0</v>
      </c>
      <c r="M21" s="3">
        <f t="shared" si="5"/>
        <v>129.16</v>
      </c>
      <c r="N21" s="4">
        <f t="shared" si="10"/>
        <v>-23.583500000000001</v>
      </c>
      <c r="O21" s="4">
        <v>0</v>
      </c>
      <c r="P21" s="4">
        <f t="shared" si="6"/>
        <v>-23.583500000000001</v>
      </c>
      <c r="Q21" s="4">
        <f t="shared" si="7"/>
        <v>0</v>
      </c>
      <c r="R21" s="4">
        <f t="shared" si="8"/>
        <v>-23.583500000000001</v>
      </c>
    </row>
    <row r="22" spans="1:18" x14ac:dyDescent="0.3">
      <c r="A22" s="6">
        <v>45736</v>
      </c>
      <c r="B22" s="7" t="s">
        <v>40</v>
      </c>
      <c r="D22" s="2">
        <f t="shared" si="9"/>
        <v>99.9</v>
      </c>
      <c r="F22" s="2">
        <f t="shared" si="0"/>
        <v>99.9</v>
      </c>
      <c r="G22" s="2">
        <f t="shared" si="1"/>
        <v>0</v>
      </c>
      <c r="H22" s="2">
        <f t="shared" si="2"/>
        <v>99.9</v>
      </c>
      <c r="I22" s="3">
        <f t="shared" si="11"/>
        <v>129.16</v>
      </c>
      <c r="K22" s="3">
        <f t="shared" si="3"/>
        <v>129.16</v>
      </c>
      <c r="L22" s="3">
        <f t="shared" si="4"/>
        <v>0</v>
      </c>
      <c r="M22" s="3">
        <f t="shared" si="5"/>
        <v>129.16</v>
      </c>
      <c r="N22" s="4">
        <f t="shared" si="10"/>
        <v>-23.583500000000001</v>
      </c>
      <c r="O22" s="4">
        <v>0</v>
      </c>
      <c r="P22" s="4">
        <f t="shared" si="6"/>
        <v>-23.583500000000001</v>
      </c>
      <c r="Q22" s="4">
        <f t="shared" si="7"/>
        <v>0</v>
      </c>
      <c r="R22" s="4">
        <f t="shared" si="8"/>
        <v>-23.583500000000001</v>
      </c>
    </row>
    <row r="23" spans="1:18" x14ac:dyDescent="0.3">
      <c r="A23" s="6">
        <v>45737</v>
      </c>
      <c r="B23" s="7" t="s">
        <v>41</v>
      </c>
      <c r="D23" s="2">
        <f t="shared" si="9"/>
        <v>99.9</v>
      </c>
      <c r="F23" s="2">
        <f t="shared" si="0"/>
        <v>99.9</v>
      </c>
      <c r="G23" s="2">
        <f t="shared" si="1"/>
        <v>0</v>
      </c>
      <c r="H23" s="2">
        <f t="shared" si="2"/>
        <v>99.9</v>
      </c>
      <c r="I23" s="3">
        <f t="shared" si="11"/>
        <v>129.16</v>
      </c>
      <c r="K23" s="3">
        <f t="shared" si="3"/>
        <v>129.16</v>
      </c>
      <c r="L23" s="3">
        <f t="shared" si="4"/>
        <v>0</v>
      </c>
      <c r="M23" s="3">
        <f t="shared" si="5"/>
        <v>129.16</v>
      </c>
      <c r="N23" s="4">
        <f t="shared" si="10"/>
        <v>-23.583500000000001</v>
      </c>
      <c r="O23" s="4">
        <v>0</v>
      </c>
      <c r="P23" s="4">
        <f t="shared" si="6"/>
        <v>-23.583500000000001</v>
      </c>
      <c r="Q23" s="4">
        <f t="shared" si="7"/>
        <v>0</v>
      </c>
      <c r="R23" s="4">
        <f t="shared" si="8"/>
        <v>-23.583500000000001</v>
      </c>
    </row>
    <row r="24" spans="1:18" x14ac:dyDescent="0.3">
      <c r="A24" s="6">
        <v>45738</v>
      </c>
      <c r="B24" s="7" t="s">
        <v>37</v>
      </c>
      <c r="D24" s="2">
        <f t="shared" si="9"/>
        <v>99.9</v>
      </c>
      <c r="F24" s="2">
        <f t="shared" si="0"/>
        <v>99.9</v>
      </c>
      <c r="G24" s="2">
        <f t="shared" si="1"/>
        <v>0</v>
      </c>
      <c r="H24" s="2">
        <f t="shared" si="2"/>
        <v>99.9</v>
      </c>
      <c r="I24" s="3">
        <f t="shared" si="11"/>
        <v>129.16</v>
      </c>
      <c r="K24" s="3">
        <f t="shared" si="3"/>
        <v>129.16</v>
      </c>
      <c r="L24" s="3">
        <f t="shared" si="4"/>
        <v>0</v>
      </c>
      <c r="M24" s="3">
        <f t="shared" si="5"/>
        <v>129.16</v>
      </c>
      <c r="N24" s="4">
        <f t="shared" si="10"/>
        <v>-23.583500000000001</v>
      </c>
      <c r="O24" s="4">
        <v>0</v>
      </c>
      <c r="P24" s="4">
        <f t="shared" si="6"/>
        <v>-23.583500000000001</v>
      </c>
      <c r="Q24" s="4">
        <f t="shared" si="7"/>
        <v>0</v>
      </c>
      <c r="R24" s="4">
        <f t="shared" si="8"/>
        <v>-23.583500000000001</v>
      </c>
    </row>
    <row r="25" spans="1:18" x14ac:dyDescent="0.3">
      <c r="A25" s="6">
        <v>45739</v>
      </c>
      <c r="B25" s="7" t="s">
        <v>38</v>
      </c>
      <c r="D25" s="2">
        <f t="shared" si="9"/>
        <v>99.9</v>
      </c>
      <c r="F25" s="2">
        <f t="shared" si="0"/>
        <v>99.9</v>
      </c>
      <c r="G25" s="2">
        <f>PRODUCT(C25 * 150)/1000</f>
        <v>0</v>
      </c>
      <c r="H25" s="2">
        <f t="shared" si="2"/>
        <v>99.9</v>
      </c>
      <c r="I25" s="3">
        <f t="shared" si="11"/>
        <v>129.16</v>
      </c>
      <c r="K25" s="3">
        <f t="shared" si="3"/>
        <v>129.16</v>
      </c>
      <c r="L25" s="3">
        <f t="shared" si="4"/>
        <v>0</v>
      </c>
      <c r="M25" s="3">
        <f t="shared" si="5"/>
        <v>129.16</v>
      </c>
      <c r="N25" s="4">
        <f t="shared" si="10"/>
        <v>-23.583500000000001</v>
      </c>
      <c r="O25" s="4">
        <v>0</v>
      </c>
      <c r="P25" s="4">
        <f t="shared" si="6"/>
        <v>-23.583500000000001</v>
      </c>
      <c r="Q25" s="4">
        <f t="shared" si="7"/>
        <v>0</v>
      </c>
      <c r="R25" s="4">
        <f t="shared" si="8"/>
        <v>-23.583500000000001</v>
      </c>
    </row>
    <row r="26" spans="1:18" x14ac:dyDescent="0.3">
      <c r="A26" s="6">
        <v>45740</v>
      </c>
      <c r="B26" s="7" t="s">
        <v>23</v>
      </c>
      <c r="D26" s="2">
        <f t="shared" si="9"/>
        <v>99.9</v>
      </c>
      <c r="F26" s="2">
        <f t="shared" si="0"/>
        <v>99.9</v>
      </c>
      <c r="G26" s="2">
        <f t="shared" si="1"/>
        <v>0</v>
      </c>
      <c r="H26" s="2">
        <f t="shared" si="2"/>
        <v>99.9</v>
      </c>
      <c r="I26" s="3">
        <f t="shared" si="11"/>
        <v>129.16</v>
      </c>
      <c r="K26" s="3">
        <f t="shared" si="3"/>
        <v>129.16</v>
      </c>
      <c r="L26" s="3">
        <f t="shared" si="4"/>
        <v>0</v>
      </c>
      <c r="M26" s="3">
        <f t="shared" si="5"/>
        <v>129.16</v>
      </c>
      <c r="N26" s="4">
        <f t="shared" si="10"/>
        <v>-23.583500000000001</v>
      </c>
      <c r="O26" s="4">
        <v>0</v>
      </c>
      <c r="P26" s="4">
        <f t="shared" si="6"/>
        <v>-23.583500000000001</v>
      </c>
      <c r="Q26" s="4">
        <f t="shared" si="7"/>
        <v>0</v>
      </c>
      <c r="R26" s="4">
        <f t="shared" si="8"/>
        <v>-23.583500000000001</v>
      </c>
    </row>
    <row r="27" spans="1:18" x14ac:dyDescent="0.3">
      <c r="A27" s="6">
        <v>45741</v>
      </c>
      <c r="B27" s="7" t="s">
        <v>24</v>
      </c>
      <c r="D27" s="2">
        <f t="shared" si="9"/>
        <v>99.9</v>
      </c>
      <c r="F27" s="2">
        <f>SUM(D27,E27)</f>
        <v>99.9</v>
      </c>
      <c r="G27" s="2">
        <f t="shared" si="1"/>
        <v>0</v>
      </c>
      <c r="H27" s="2">
        <f t="shared" si="2"/>
        <v>99.9</v>
      </c>
      <c r="I27" s="3">
        <f t="shared" si="11"/>
        <v>129.16</v>
      </c>
      <c r="K27" s="3">
        <f t="shared" si="3"/>
        <v>129.16</v>
      </c>
      <c r="L27" s="3">
        <f t="shared" si="4"/>
        <v>0</v>
      </c>
      <c r="M27" s="3">
        <f t="shared" si="5"/>
        <v>129.16</v>
      </c>
      <c r="N27" s="4">
        <f t="shared" si="10"/>
        <v>-23.583500000000001</v>
      </c>
      <c r="O27" s="4">
        <v>0</v>
      </c>
      <c r="P27" s="4">
        <f t="shared" si="6"/>
        <v>-23.583500000000001</v>
      </c>
      <c r="Q27" s="4">
        <f t="shared" si="7"/>
        <v>0</v>
      </c>
      <c r="R27" s="4">
        <f t="shared" si="8"/>
        <v>-23.583500000000001</v>
      </c>
    </row>
    <row r="28" spans="1:18" x14ac:dyDescent="0.3">
      <c r="A28" s="6">
        <v>45742</v>
      </c>
      <c r="B28" s="7" t="s">
        <v>39</v>
      </c>
      <c r="D28" s="2">
        <f t="shared" si="9"/>
        <v>99.9</v>
      </c>
      <c r="F28" s="2">
        <f t="shared" si="0"/>
        <v>99.9</v>
      </c>
      <c r="G28" s="2">
        <f t="shared" si="1"/>
        <v>0</v>
      </c>
      <c r="H28" s="2">
        <f t="shared" si="2"/>
        <v>99.9</v>
      </c>
      <c r="I28" s="3">
        <f t="shared" si="11"/>
        <v>129.16</v>
      </c>
      <c r="K28" s="3">
        <f t="shared" si="3"/>
        <v>129.16</v>
      </c>
      <c r="L28" s="3">
        <f t="shared" si="4"/>
        <v>0</v>
      </c>
      <c r="M28" s="3">
        <f t="shared" si="5"/>
        <v>129.16</v>
      </c>
      <c r="N28" s="4">
        <f t="shared" si="10"/>
        <v>-23.583500000000001</v>
      </c>
      <c r="O28" s="4">
        <v>0</v>
      </c>
      <c r="P28" s="4">
        <f t="shared" si="6"/>
        <v>-23.583500000000001</v>
      </c>
      <c r="Q28" s="4">
        <f t="shared" si="7"/>
        <v>0</v>
      </c>
      <c r="R28" s="4">
        <f t="shared" si="8"/>
        <v>-23.583500000000001</v>
      </c>
    </row>
    <row r="29" spans="1:18" x14ac:dyDescent="0.3">
      <c r="A29" s="6">
        <v>45743</v>
      </c>
      <c r="B29" s="7" t="s">
        <v>40</v>
      </c>
      <c r="D29" s="2">
        <f t="shared" si="9"/>
        <v>99.9</v>
      </c>
      <c r="F29" s="2">
        <f t="shared" si="0"/>
        <v>99.9</v>
      </c>
      <c r="G29" s="2">
        <f t="shared" si="1"/>
        <v>0</v>
      </c>
      <c r="H29" s="2">
        <f t="shared" si="2"/>
        <v>99.9</v>
      </c>
      <c r="I29" s="3">
        <f t="shared" si="11"/>
        <v>129.16</v>
      </c>
      <c r="K29" s="3">
        <f t="shared" si="3"/>
        <v>129.16</v>
      </c>
      <c r="L29" s="3">
        <f t="shared" si="4"/>
        <v>0</v>
      </c>
      <c r="M29" s="3">
        <f t="shared" si="5"/>
        <v>129.16</v>
      </c>
      <c r="N29" s="4">
        <f t="shared" si="10"/>
        <v>-23.583500000000001</v>
      </c>
      <c r="O29" s="4">
        <v>0</v>
      </c>
      <c r="P29" s="4">
        <f t="shared" si="6"/>
        <v>-23.583500000000001</v>
      </c>
      <c r="Q29" s="4">
        <f t="shared" si="7"/>
        <v>0</v>
      </c>
      <c r="R29" s="4">
        <f t="shared" si="8"/>
        <v>-23.583500000000001</v>
      </c>
    </row>
    <row r="30" spans="1:18" x14ac:dyDescent="0.3">
      <c r="A30" s="6">
        <v>45744</v>
      </c>
      <c r="B30" s="7" t="s">
        <v>41</v>
      </c>
      <c r="D30" s="2">
        <f t="shared" si="9"/>
        <v>99.9</v>
      </c>
      <c r="F30" s="2">
        <f t="shared" si="0"/>
        <v>99.9</v>
      </c>
      <c r="G30" s="2">
        <f t="shared" si="1"/>
        <v>0</v>
      </c>
      <c r="H30" s="2">
        <f t="shared" si="2"/>
        <v>99.9</v>
      </c>
      <c r="I30" s="3">
        <f t="shared" si="11"/>
        <v>129.16</v>
      </c>
      <c r="K30" s="3">
        <f t="shared" si="3"/>
        <v>129.16</v>
      </c>
      <c r="L30" s="3">
        <f t="shared" si="4"/>
        <v>0</v>
      </c>
      <c r="M30" s="3">
        <f t="shared" si="5"/>
        <v>129.16</v>
      </c>
      <c r="N30" s="4">
        <f t="shared" si="10"/>
        <v>-23.583500000000001</v>
      </c>
      <c r="O30" s="4">
        <v>0</v>
      </c>
      <c r="P30" s="4">
        <f t="shared" si="6"/>
        <v>-23.583500000000001</v>
      </c>
      <c r="Q30" s="4">
        <f t="shared" si="7"/>
        <v>0</v>
      </c>
      <c r="R30" s="4">
        <f t="shared" si="8"/>
        <v>-23.583500000000001</v>
      </c>
    </row>
    <row r="31" spans="1:18" x14ac:dyDescent="0.3">
      <c r="A31" s="6">
        <v>45745</v>
      </c>
      <c r="B31" s="7" t="s">
        <v>37</v>
      </c>
      <c r="D31" s="2">
        <f t="shared" si="9"/>
        <v>99.9</v>
      </c>
      <c r="F31" s="2">
        <f t="shared" si="0"/>
        <v>99.9</v>
      </c>
      <c r="G31" s="2">
        <f t="shared" si="1"/>
        <v>0</v>
      </c>
      <c r="H31" s="2">
        <f t="shared" si="2"/>
        <v>99.9</v>
      </c>
      <c r="I31" s="3">
        <f t="shared" si="11"/>
        <v>129.16</v>
      </c>
      <c r="K31" s="3">
        <f t="shared" si="3"/>
        <v>129.16</v>
      </c>
      <c r="L31" s="3">
        <f t="shared" si="4"/>
        <v>0</v>
      </c>
      <c r="M31" s="3">
        <f t="shared" si="5"/>
        <v>129.16</v>
      </c>
      <c r="N31" s="4">
        <f t="shared" si="10"/>
        <v>-23.583500000000001</v>
      </c>
      <c r="O31" s="4">
        <v>0</v>
      </c>
      <c r="P31" s="4">
        <f t="shared" si="6"/>
        <v>-23.583500000000001</v>
      </c>
      <c r="Q31" s="4">
        <f t="shared" si="7"/>
        <v>0</v>
      </c>
      <c r="R31" s="4">
        <f t="shared" si="8"/>
        <v>-23.583500000000001</v>
      </c>
    </row>
    <row r="32" spans="1:18" x14ac:dyDescent="0.3">
      <c r="A32" s="6">
        <v>45746</v>
      </c>
      <c r="B32" s="7" t="s">
        <v>38</v>
      </c>
      <c r="D32" s="2">
        <f t="shared" si="9"/>
        <v>99.9</v>
      </c>
      <c r="F32" s="2">
        <f t="shared" si="0"/>
        <v>99.9</v>
      </c>
      <c r="G32" s="2">
        <f t="shared" si="1"/>
        <v>0</v>
      </c>
      <c r="H32" s="2">
        <f t="shared" si="2"/>
        <v>99.9</v>
      </c>
      <c r="I32" s="3">
        <f t="shared" si="11"/>
        <v>129.16</v>
      </c>
      <c r="K32" s="3">
        <f t="shared" si="3"/>
        <v>129.16</v>
      </c>
      <c r="L32" s="3">
        <f t="shared" si="4"/>
        <v>0</v>
      </c>
      <c r="M32" s="3">
        <f t="shared" si="5"/>
        <v>129.16</v>
      </c>
      <c r="N32" s="4">
        <f t="shared" si="10"/>
        <v>-23.583500000000001</v>
      </c>
      <c r="O32" s="4">
        <v>0</v>
      </c>
      <c r="P32" s="4">
        <f t="shared" si="6"/>
        <v>-23.583500000000001</v>
      </c>
      <c r="Q32" s="4">
        <f t="shared" si="7"/>
        <v>0</v>
      </c>
      <c r="R32" s="4">
        <f t="shared" si="8"/>
        <v>-23.583500000000001</v>
      </c>
    </row>
    <row r="33" spans="1:18" x14ac:dyDescent="0.3">
      <c r="A33" s="6">
        <v>45747</v>
      </c>
      <c r="B33" s="7" t="s">
        <v>23</v>
      </c>
      <c r="D33" s="2">
        <f t="shared" si="9"/>
        <v>99.9</v>
      </c>
      <c r="F33" s="2">
        <f t="shared" si="0"/>
        <v>99.9</v>
      </c>
      <c r="G33" s="2">
        <f t="shared" si="1"/>
        <v>0</v>
      </c>
      <c r="H33" s="2">
        <f t="shared" si="2"/>
        <v>99.9</v>
      </c>
      <c r="I33" s="3">
        <f t="shared" si="11"/>
        <v>129.16</v>
      </c>
      <c r="K33" s="3">
        <f t="shared" si="3"/>
        <v>129.16</v>
      </c>
      <c r="L33" s="3">
        <f t="shared" si="4"/>
        <v>0</v>
      </c>
      <c r="M33" s="3">
        <f t="shared" si="5"/>
        <v>129.16</v>
      </c>
      <c r="N33" s="4">
        <f t="shared" si="10"/>
        <v>-23.583500000000001</v>
      </c>
      <c r="O33" s="4">
        <v>0</v>
      </c>
      <c r="P33" s="4">
        <f t="shared" si="6"/>
        <v>-23.583500000000001</v>
      </c>
      <c r="Q33" s="4">
        <f t="shared" si="7"/>
        <v>0</v>
      </c>
      <c r="R33" s="4">
        <f t="shared" si="8"/>
        <v>-23.583500000000001</v>
      </c>
    </row>
  </sheetData>
  <autoFilter ref="A1:R34" xr:uid="{00000000-0001-0000-0100-000000000000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</autoFilter>
  <mergeCells count="7">
    <mergeCell ref="S1:W1"/>
    <mergeCell ref="A1:A2"/>
    <mergeCell ref="B1:B2"/>
    <mergeCell ref="C1:C2"/>
    <mergeCell ref="D1:H1"/>
    <mergeCell ref="I1:M1"/>
    <mergeCell ref="N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abSelected="1" topLeftCell="A2" zoomScale="140" zoomScaleNormal="140" workbookViewId="0">
      <selection activeCell="K6" sqref="K6"/>
    </sheetView>
  </sheetViews>
  <sheetFormatPr defaultColWidth="8.88671875" defaultRowHeight="14.4" x14ac:dyDescent="0.3"/>
  <cols>
    <col min="1" max="1" width="11.5546875" style="1" customWidth="1"/>
    <col min="2" max="2" width="10.88671875" style="1" customWidth="1"/>
    <col min="3" max="3" width="3.6640625" style="2" bestFit="1" customWidth="1"/>
    <col min="4" max="4" width="7.109375" style="2" bestFit="1" customWidth="1"/>
    <col min="5" max="5" width="4.88671875" style="2" bestFit="1" customWidth="1"/>
    <col min="6" max="6" width="3.6640625" style="12" bestFit="1" customWidth="1"/>
    <col min="7" max="7" width="7.109375" style="12" bestFit="1" customWidth="1"/>
    <col min="8" max="8" width="4.88671875" style="12" bestFit="1" customWidth="1"/>
    <col min="9" max="9" width="3.6640625" style="4" bestFit="1" customWidth="1"/>
    <col min="10" max="10" width="7.109375" style="4" bestFit="1" customWidth="1"/>
    <col min="11" max="11" width="4.88671875" style="4" bestFit="1" customWidth="1"/>
    <col min="12" max="12" width="3.6640625" style="14" bestFit="1" customWidth="1"/>
    <col min="13" max="13" width="7.109375" style="14" bestFit="1" customWidth="1"/>
    <col min="14" max="14" width="4.88671875" style="14" bestFit="1" customWidth="1"/>
    <col min="15" max="16" width="10.5546875" style="14" customWidth="1"/>
    <col min="17" max="17" width="8.109375" style="11" bestFit="1" customWidth="1"/>
    <col min="18" max="18" width="6.33203125" style="11" bestFit="1" customWidth="1"/>
    <col min="19" max="19" width="6.5546875" style="11" customWidth="1"/>
    <col min="20" max="20" width="11.33203125" style="11" bestFit="1" customWidth="1"/>
    <col min="21" max="21" width="8.5546875" style="11" customWidth="1"/>
    <col min="22" max="16384" width="8.88671875" style="1"/>
  </cols>
  <sheetData>
    <row r="1" spans="1:21" x14ac:dyDescent="0.3">
      <c r="A1" s="18" t="s">
        <v>0</v>
      </c>
      <c r="B1" s="18" t="s">
        <v>6</v>
      </c>
      <c r="C1" s="29" t="s">
        <v>18</v>
      </c>
      <c r="D1" s="29"/>
      <c r="E1" s="29"/>
      <c r="F1" s="32" t="s">
        <v>20</v>
      </c>
      <c r="G1" s="32"/>
      <c r="H1" s="32"/>
      <c r="I1" s="27" t="s">
        <v>21</v>
      </c>
      <c r="J1" s="27"/>
      <c r="K1" s="27"/>
      <c r="L1" s="33" t="s">
        <v>22</v>
      </c>
      <c r="M1" s="34"/>
      <c r="N1" s="34"/>
      <c r="O1" s="35"/>
      <c r="P1" s="15"/>
      <c r="Q1" s="22" t="s">
        <v>44</v>
      </c>
      <c r="R1" s="22"/>
      <c r="S1" s="22"/>
      <c r="T1" s="22"/>
      <c r="U1" s="22"/>
    </row>
    <row r="2" spans="1:21" x14ac:dyDescent="0.3">
      <c r="A2" s="18"/>
      <c r="B2" s="18"/>
      <c r="C2" s="2" t="s">
        <v>19</v>
      </c>
      <c r="D2" s="2" t="s">
        <v>45</v>
      </c>
      <c r="E2" s="2" t="s">
        <v>1</v>
      </c>
      <c r="F2" s="12" t="s">
        <v>19</v>
      </c>
      <c r="G2" s="12" t="s">
        <v>45</v>
      </c>
      <c r="H2" s="12" t="s">
        <v>1</v>
      </c>
      <c r="I2" s="4" t="s">
        <v>19</v>
      </c>
      <c r="J2" s="4" t="s">
        <v>45</v>
      </c>
      <c r="K2" s="4" t="s">
        <v>1</v>
      </c>
      <c r="L2" s="13" t="s">
        <v>19</v>
      </c>
      <c r="M2" s="13" t="s">
        <v>45</v>
      </c>
      <c r="N2" s="14" t="s">
        <v>1</v>
      </c>
      <c r="O2" s="14" t="s">
        <v>31</v>
      </c>
      <c r="P2" s="14" t="s">
        <v>46</v>
      </c>
      <c r="Q2" s="11" t="s">
        <v>2</v>
      </c>
      <c r="R2" s="11" t="s">
        <v>10</v>
      </c>
      <c r="S2" s="11" t="s">
        <v>3</v>
      </c>
      <c r="T2" s="11" t="s">
        <v>4</v>
      </c>
      <c r="U2" s="11" t="s">
        <v>5</v>
      </c>
    </row>
    <row r="3" spans="1:21" x14ac:dyDescent="0.3">
      <c r="A3" s="6">
        <v>45717</v>
      </c>
      <c r="B3" s="7" t="s">
        <v>37</v>
      </c>
      <c r="C3" s="2">
        <v>5</v>
      </c>
      <c r="D3" s="2">
        <v>15</v>
      </c>
      <c r="E3" s="2">
        <f>SUM(C3,D3)</f>
        <v>20</v>
      </c>
      <c r="F3" s="12">
        <v>25</v>
      </c>
      <c r="G3" s="12">
        <v>10</v>
      </c>
      <c r="H3" s="12">
        <f>SUM(F3,G3)</f>
        <v>35</v>
      </c>
      <c r="I3" s="4">
        <v>30</v>
      </c>
      <c r="J3" s="4">
        <v>20</v>
      </c>
      <c r="K3" s="12">
        <f>SUM(I3,J3)</f>
        <v>50</v>
      </c>
      <c r="L3" s="14">
        <f>(C3+F3+I3)</f>
        <v>60</v>
      </c>
      <c r="M3" s="14">
        <f>(D3+G3+J3)</f>
        <v>45</v>
      </c>
      <c r="N3" s="14">
        <f>SUM(L3,M3)</f>
        <v>105</v>
      </c>
      <c r="O3" s="14">
        <f>L3*6</f>
        <v>360</v>
      </c>
      <c r="P3" s="14">
        <f>M3*6</f>
        <v>270</v>
      </c>
      <c r="Q3" s="11">
        <v>28329.7</v>
      </c>
      <c r="R3" s="11">
        <v>0</v>
      </c>
      <c r="S3" s="11">
        <f>SUM(Q3,R3)</f>
        <v>28329.7</v>
      </c>
      <c r="T3" s="11">
        <f>O3+ P3</f>
        <v>630</v>
      </c>
      <c r="U3" s="11">
        <v>27713.200000000001</v>
      </c>
    </row>
    <row r="4" spans="1:21" x14ac:dyDescent="0.3">
      <c r="A4" s="6">
        <v>45718</v>
      </c>
      <c r="B4" s="7" t="s">
        <v>38</v>
      </c>
      <c r="C4" s="2">
        <v>0</v>
      </c>
      <c r="D4" s="2">
        <v>0</v>
      </c>
      <c r="E4" s="2">
        <f t="shared" ref="E4:E33" si="0">SUM(C4,D4)</f>
        <v>0</v>
      </c>
      <c r="F4" s="12">
        <v>0</v>
      </c>
      <c r="G4" s="12">
        <v>0</v>
      </c>
      <c r="H4" s="12">
        <f t="shared" ref="H4:H33" si="1">SUM(F4,G4)</f>
        <v>0</v>
      </c>
      <c r="I4" s="4">
        <v>0</v>
      </c>
      <c r="J4" s="4">
        <v>0</v>
      </c>
      <c r="K4" s="12">
        <f t="shared" ref="K4:K33" si="2">SUM(I4,J4)</f>
        <v>0</v>
      </c>
      <c r="L4" s="14">
        <f t="shared" ref="L4:L33" si="3">(C4+F4+I4)</f>
        <v>0</v>
      </c>
      <c r="M4" s="14">
        <f t="shared" ref="M4:M33" si="4">(D4+G4+J4)</f>
        <v>0</v>
      </c>
      <c r="N4" s="14">
        <f t="shared" ref="N4:N33" si="5">SUM(L4,M4)</f>
        <v>0</v>
      </c>
      <c r="O4" s="14">
        <f t="shared" ref="O4:O33" si="6">L4*6</f>
        <v>0</v>
      </c>
      <c r="P4" s="14">
        <f>--C10152</f>
        <v>0</v>
      </c>
      <c r="Q4" s="11">
        <f>IF(ISNUMBER(VALUE(U3)),U3,0)</f>
        <v>27713.200000000001</v>
      </c>
      <c r="R4" s="11">
        <v>0</v>
      </c>
      <c r="S4" s="11">
        <f t="shared" ref="S4:S33" si="7">SUM(Q4,R4)</f>
        <v>27713.200000000001</v>
      </c>
      <c r="T4" s="11">
        <f t="shared" ref="T4:T33" si="8">O4+ P4</f>
        <v>0</v>
      </c>
      <c r="U4" s="11">
        <f t="shared" ref="U4:U33" si="9">(S4-T4)</f>
        <v>27713.200000000001</v>
      </c>
    </row>
    <row r="5" spans="1:21" x14ac:dyDescent="0.3">
      <c r="A5" s="6">
        <v>45719</v>
      </c>
      <c r="B5" s="7" t="s">
        <v>23</v>
      </c>
      <c r="C5" s="2">
        <v>5</v>
      </c>
      <c r="D5" s="2">
        <v>17</v>
      </c>
      <c r="E5" s="2">
        <f t="shared" si="0"/>
        <v>22</v>
      </c>
      <c r="F5" s="12">
        <v>30</v>
      </c>
      <c r="G5" s="12">
        <v>9</v>
      </c>
      <c r="H5" s="12">
        <f t="shared" si="1"/>
        <v>39</v>
      </c>
      <c r="I5" s="4">
        <v>25</v>
      </c>
      <c r="J5" s="4">
        <v>25</v>
      </c>
      <c r="K5" s="12">
        <f t="shared" si="2"/>
        <v>50</v>
      </c>
      <c r="L5" s="14">
        <f t="shared" si="3"/>
        <v>60</v>
      </c>
      <c r="M5" s="14">
        <f t="shared" si="4"/>
        <v>51</v>
      </c>
      <c r="N5" s="14">
        <f t="shared" si="5"/>
        <v>111</v>
      </c>
      <c r="O5" s="14">
        <f t="shared" si="6"/>
        <v>360</v>
      </c>
      <c r="P5" s="14">
        <f t="shared" ref="P4:P33" si="10">M5*6</f>
        <v>306</v>
      </c>
      <c r="Q5" s="11">
        <f>IF(ISNUMBER(VALUE(U4)),U4,0)</f>
        <v>27713.200000000001</v>
      </c>
      <c r="R5" s="11">
        <v>0</v>
      </c>
      <c r="S5" s="11">
        <f t="shared" si="7"/>
        <v>27713.200000000001</v>
      </c>
      <c r="T5" s="11">
        <f t="shared" si="8"/>
        <v>666</v>
      </c>
      <c r="U5" s="11">
        <f t="shared" si="9"/>
        <v>27047.200000000001</v>
      </c>
    </row>
    <row r="6" spans="1:21" x14ac:dyDescent="0.3">
      <c r="A6" s="6">
        <v>45720</v>
      </c>
      <c r="B6" s="7" t="s">
        <v>24</v>
      </c>
      <c r="C6" s="2">
        <v>5</v>
      </c>
      <c r="D6" s="2">
        <v>18</v>
      </c>
      <c r="E6" s="2">
        <f t="shared" si="0"/>
        <v>23</v>
      </c>
      <c r="F6" s="12">
        <v>30</v>
      </c>
      <c r="G6" s="12">
        <v>8</v>
      </c>
      <c r="H6" s="12">
        <f t="shared" si="1"/>
        <v>38</v>
      </c>
      <c r="I6" s="4">
        <v>25</v>
      </c>
      <c r="J6" s="4">
        <v>25</v>
      </c>
      <c r="K6" s="12">
        <f t="shared" si="2"/>
        <v>50</v>
      </c>
      <c r="L6" s="14">
        <f t="shared" si="3"/>
        <v>60</v>
      </c>
      <c r="M6" s="14">
        <f t="shared" si="4"/>
        <v>51</v>
      </c>
      <c r="N6" s="14">
        <f t="shared" si="5"/>
        <v>111</v>
      </c>
      <c r="O6" s="14">
        <f t="shared" si="6"/>
        <v>360</v>
      </c>
      <c r="P6" s="14">
        <f t="shared" si="10"/>
        <v>306</v>
      </c>
      <c r="Q6" s="11">
        <f>IF(ISNUMBER(VALUE(U5)),U5,0)</f>
        <v>27047.200000000001</v>
      </c>
      <c r="R6" s="11">
        <v>0</v>
      </c>
      <c r="S6" s="11">
        <f t="shared" si="7"/>
        <v>27047.200000000001</v>
      </c>
      <c r="T6" s="11">
        <f t="shared" si="8"/>
        <v>666</v>
      </c>
      <c r="U6" s="11">
        <f t="shared" si="9"/>
        <v>26381.200000000001</v>
      </c>
    </row>
    <row r="7" spans="1:21" x14ac:dyDescent="0.3">
      <c r="A7" s="6">
        <v>45721</v>
      </c>
      <c r="B7" s="7" t="s">
        <v>39</v>
      </c>
      <c r="C7" s="2">
        <v>5</v>
      </c>
      <c r="D7" s="2">
        <v>18</v>
      </c>
      <c r="E7" s="2">
        <f t="shared" si="0"/>
        <v>23</v>
      </c>
      <c r="F7" s="12">
        <v>30</v>
      </c>
      <c r="G7" s="12">
        <v>6</v>
      </c>
      <c r="H7" s="12">
        <f t="shared" si="1"/>
        <v>36</v>
      </c>
      <c r="I7" s="4">
        <v>25</v>
      </c>
      <c r="J7" s="4">
        <v>22</v>
      </c>
      <c r="K7" s="12">
        <f t="shared" si="2"/>
        <v>47</v>
      </c>
      <c r="L7" s="14">
        <f t="shared" si="3"/>
        <v>60</v>
      </c>
      <c r="M7" s="14">
        <f t="shared" si="4"/>
        <v>46</v>
      </c>
      <c r="N7" s="14">
        <f t="shared" si="5"/>
        <v>106</v>
      </c>
      <c r="O7" s="14">
        <f t="shared" si="6"/>
        <v>360</v>
      </c>
      <c r="P7" s="14">
        <f t="shared" si="10"/>
        <v>276</v>
      </c>
      <c r="Q7" s="11">
        <f t="shared" ref="Q5:Q33" si="11">IF(ISNUMBER(VALUE(U6)),U6,0)</f>
        <v>26381.200000000001</v>
      </c>
      <c r="R7" s="11">
        <v>0</v>
      </c>
      <c r="S7" s="11">
        <f t="shared" si="7"/>
        <v>26381.200000000001</v>
      </c>
      <c r="T7" s="11">
        <f t="shared" si="8"/>
        <v>636</v>
      </c>
      <c r="U7" s="11">
        <f t="shared" si="9"/>
        <v>25745.200000000001</v>
      </c>
    </row>
    <row r="8" spans="1:21" x14ac:dyDescent="0.3">
      <c r="A8" s="6">
        <v>45722</v>
      </c>
      <c r="B8" s="7" t="s">
        <v>40</v>
      </c>
      <c r="C8" s="2">
        <v>5</v>
      </c>
      <c r="D8" s="2">
        <v>18</v>
      </c>
      <c r="E8" s="2">
        <f t="shared" si="0"/>
        <v>23</v>
      </c>
      <c r="F8" s="12">
        <v>30</v>
      </c>
      <c r="G8" s="12">
        <v>4</v>
      </c>
      <c r="H8" s="12">
        <f t="shared" si="1"/>
        <v>34</v>
      </c>
      <c r="I8" s="4">
        <v>25</v>
      </c>
      <c r="J8" s="4">
        <v>19</v>
      </c>
      <c r="K8" s="12">
        <f t="shared" si="2"/>
        <v>44</v>
      </c>
      <c r="L8" s="14">
        <f t="shared" si="3"/>
        <v>60</v>
      </c>
      <c r="M8" s="14">
        <f t="shared" si="4"/>
        <v>41</v>
      </c>
      <c r="N8" s="14">
        <f t="shared" si="5"/>
        <v>101</v>
      </c>
      <c r="O8" s="14">
        <f t="shared" si="6"/>
        <v>360</v>
      </c>
      <c r="P8" s="14">
        <f t="shared" si="10"/>
        <v>246</v>
      </c>
      <c r="Q8" s="11">
        <f t="shared" si="11"/>
        <v>25745.200000000001</v>
      </c>
      <c r="R8" s="11">
        <v>0</v>
      </c>
      <c r="S8" s="11">
        <f t="shared" si="7"/>
        <v>25745.200000000001</v>
      </c>
      <c r="T8" s="11">
        <f t="shared" si="8"/>
        <v>606</v>
      </c>
      <c r="U8" s="11">
        <f t="shared" si="9"/>
        <v>25139.200000000001</v>
      </c>
    </row>
    <row r="9" spans="1:21" x14ac:dyDescent="0.3">
      <c r="A9" s="6">
        <v>45723</v>
      </c>
      <c r="B9" s="7" t="s">
        <v>41</v>
      </c>
      <c r="C9" s="2">
        <v>5</v>
      </c>
      <c r="D9" s="2">
        <v>17</v>
      </c>
      <c r="E9" s="2">
        <f t="shared" si="0"/>
        <v>22</v>
      </c>
      <c r="F9" s="12">
        <v>30</v>
      </c>
      <c r="G9" s="12">
        <v>8</v>
      </c>
      <c r="H9" s="12">
        <f t="shared" si="1"/>
        <v>38</v>
      </c>
      <c r="I9" s="4">
        <v>25</v>
      </c>
      <c r="J9" s="4">
        <v>23</v>
      </c>
      <c r="K9" s="12">
        <f t="shared" si="2"/>
        <v>48</v>
      </c>
      <c r="L9" s="14">
        <f t="shared" si="3"/>
        <v>60</v>
      </c>
      <c r="M9" s="14">
        <f t="shared" si="4"/>
        <v>48</v>
      </c>
      <c r="N9" s="14">
        <f t="shared" si="5"/>
        <v>108</v>
      </c>
      <c r="O9" s="14">
        <f t="shared" si="6"/>
        <v>360</v>
      </c>
      <c r="P9" s="14">
        <f t="shared" si="10"/>
        <v>288</v>
      </c>
      <c r="Q9" s="11">
        <f t="shared" si="11"/>
        <v>25139.200000000001</v>
      </c>
      <c r="R9" s="11">
        <v>0</v>
      </c>
      <c r="S9" s="11">
        <f t="shared" si="7"/>
        <v>25139.200000000001</v>
      </c>
      <c r="T9" s="11">
        <f t="shared" si="8"/>
        <v>648</v>
      </c>
      <c r="U9" s="11">
        <f t="shared" si="9"/>
        <v>24491.200000000001</v>
      </c>
    </row>
    <row r="10" spans="1:21" x14ac:dyDescent="0.3">
      <c r="A10" s="6">
        <v>45724</v>
      </c>
      <c r="B10" s="7" t="s">
        <v>37</v>
      </c>
      <c r="C10" s="2">
        <v>2</v>
      </c>
      <c r="D10" s="2">
        <v>6</v>
      </c>
      <c r="E10" s="2">
        <f t="shared" si="0"/>
        <v>8</v>
      </c>
      <c r="H10" s="12">
        <f t="shared" si="1"/>
        <v>0</v>
      </c>
      <c r="K10" s="12">
        <f t="shared" si="2"/>
        <v>0</v>
      </c>
      <c r="L10" s="14">
        <f t="shared" si="3"/>
        <v>2</v>
      </c>
      <c r="M10" s="14">
        <f t="shared" si="4"/>
        <v>6</v>
      </c>
      <c r="N10" s="14">
        <f t="shared" si="5"/>
        <v>8</v>
      </c>
      <c r="O10" s="14">
        <f t="shared" si="6"/>
        <v>12</v>
      </c>
      <c r="P10" s="14">
        <f t="shared" si="10"/>
        <v>36</v>
      </c>
      <c r="Q10" s="11">
        <f t="shared" si="11"/>
        <v>24491.200000000001</v>
      </c>
      <c r="R10" s="11">
        <v>0</v>
      </c>
      <c r="S10" s="11">
        <f t="shared" si="7"/>
        <v>24491.200000000001</v>
      </c>
      <c r="T10" s="11">
        <f t="shared" si="8"/>
        <v>48</v>
      </c>
      <c r="U10" s="11">
        <f t="shared" si="9"/>
        <v>24443.200000000001</v>
      </c>
    </row>
    <row r="11" spans="1:21" x14ac:dyDescent="0.3">
      <c r="A11" s="6">
        <v>45725</v>
      </c>
      <c r="B11" s="7" t="s">
        <v>38</v>
      </c>
      <c r="E11" s="2">
        <f t="shared" si="0"/>
        <v>0</v>
      </c>
      <c r="H11" s="12">
        <f t="shared" si="1"/>
        <v>0</v>
      </c>
      <c r="K11" s="12">
        <f t="shared" si="2"/>
        <v>0</v>
      </c>
      <c r="L11" s="14">
        <f t="shared" si="3"/>
        <v>0</v>
      </c>
      <c r="M11" s="14">
        <f t="shared" si="4"/>
        <v>0</v>
      </c>
      <c r="N11" s="14">
        <f t="shared" si="5"/>
        <v>0</v>
      </c>
      <c r="O11" s="14">
        <f t="shared" si="6"/>
        <v>0</v>
      </c>
      <c r="P11" s="14">
        <f t="shared" si="10"/>
        <v>0</v>
      </c>
      <c r="Q11" s="11">
        <f t="shared" si="11"/>
        <v>24443.200000000001</v>
      </c>
      <c r="R11" s="11">
        <v>0</v>
      </c>
      <c r="S11" s="11">
        <f t="shared" si="7"/>
        <v>24443.200000000001</v>
      </c>
      <c r="T11" s="11">
        <f t="shared" si="8"/>
        <v>0</v>
      </c>
      <c r="U11" s="11">
        <f t="shared" si="9"/>
        <v>24443.200000000001</v>
      </c>
    </row>
    <row r="12" spans="1:21" x14ac:dyDescent="0.3">
      <c r="A12" s="6">
        <v>45726</v>
      </c>
      <c r="B12" s="7" t="s">
        <v>23</v>
      </c>
      <c r="E12" s="2">
        <f t="shared" si="0"/>
        <v>0</v>
      </c>
      <c r="H12" s="12">
        <f t="shared" si="1"/>
        <v>0</v>
      </c>
      <c r="K12" s="12">
        <f t="shared" si="2"/>
        <v>0</v>
      </c>
      <c r="L12" s="14">
        <f t="shared" si="3"/>
        <v>0</v>
      </c>
      <c r="M12" s="14">
        <f t="shared" si="4"/>
        <v>0</v>
      </c>
      <c r="N12" s="14">
        <f t="shared" si="5"/>
        <v>0</v>
      </c>
      <c r="O12" s="14">
        <f t="shared" si="6"/>
        <v>0</v>
      </c>
      <c r="P12" s="14">
        <f t="shared" si="10"/>
        <v>0</v>
      </c>
      <c r="Q12" s="11">
        <f t="shared" si="11"/>
        <v>24443.200000000001</v>
      </c>
      <c r="R12" s="11">
        <v>0</v>
      </c>
      <c r="S12" s="11">
        <f t="shared" si="7"/>
        <v>24443.200000000001</v>
      </c>
      <c r="T12" s="11">
        <f t="shared" si="8"/>
        <v>0</v>
      </c>
      <c r="U12" s="11">
        <f t="shared" si="9"/>
        <v>24443.200000000001</v>
      </c>
    </row>
    <row r="13" spans="1:21" x14ac:dyDescent="0.3">
      <c r="A13" s="6">
        <v>45727</v>
      </c>
      <c r="B13" s="7" t="s">
        <v>24</v>
      </c>
      <c r="E13" s="2">
        <f t="shared" si="0"/>
        <v>0</v>
      </c>
      <c r="H13" s="12">
        <f t="shared" si="1"/>
        <v>0</v>
      </c>
      <c r="K13" s="12">
        <f t="shared" si="2"/>
        <v>0</v>
      </c>
      <c r="L13" s="14">
        <f t="shared" si="3"/>
        <v>0</v>
      </c>
      <c r="M13" s="14">
        <f t="shared" si="4"/>
        <v>0</v>
      </c>
      <c r="N13" s="14">
        <f t="shared" si="5"/>
        <v>0</v>
      </c>
      <c r="O13" s="14">
        <f t="shared" si="6"/>
        <v>0</v>
      </c>
      <c r="P13" s="14">
        <f t="shared" si="10"/>
        <v>0</v>
      </c>
      <c r="Q13" s="11">
        <f t="shared" si="11"/>
        <v>24443.200000000001</v>
      </c>
      <c r="R13" s="11">
        <v>0</v>
      </c>
      <c r="S13" s="11">
        <f t="shared" si="7"/>
        <v>24443.200000000001</v>
      </c>
      <c r="T13" s="11">
        <f t="shared" si="8"/>
        <v>0</v>
      </c>
      <c r="U13" s="11">
        <f t="shared" si="9"/>
        <v>24443.200000000001</v>
      </c>
    </row>
    <row r="14" spans="1:21" x14ac:dyDescent="0.3">
      <c r="A14" s="6">
        <v>45728</v>
      </c>
      <c r="B14" s="7" t="s">
        <v>39</v>
      </c>
      <c r="E14" s="2">
        <f t="shared" si="0"/>
        <v>0</v>
      </c>
      <c r="H14" s="12">
        <f t="shared" si="1"/>
        <v>0</v>
      </c>
      <c r="K14" s="12">
        <f t="shared" si="2"/>
        <v>0</v>
      </c>
      <c r="L14" s="14">
        <f t="shared" si="3"/>
        <v>0</v>
      </c>
      <c r="M14" s="14">
        <f t="shared" si="4"/>
        <v>0</v>
      </c>
      <c r="N14" s="14">
        <f t="shared" si="5"/>
        <v>0</v>
      </c>
      <c r="O14" s="14">
        <f t="shared" si="6"/>
        <v>0</v>
      </c>
      <c r="P14" s="14">
        <f t="shared" si="10"/>
        <v>0</v>
      </c>
      <c r="Q14" s="11">
        <f t="shared" si="11"/>
        <v>24443.200000000001</v>
      </c>
      <c r="R14" s="11">
        <v>0</v>
      </c>
      <c r="S14" s="11">
        <f t="shared" si="7"/>
        <v>24443.200000000001</v>
      </c>
      <c r="T14" s="11">
        <f t="shared" si="8"/>
        <v>0</v>
      </c>
      <c r="U14" s="11">
        <f t="shared" si="9"/>
        <v>24443.200000000001</v>
      </c>
    </row>
    <row r="15" spans="1:21" x14ac:dyDescent="0.3">
      <c r="A15" s="6">
        <v>45729</v>
      </c>
      <c r="B15" s="7" t="s">
        <v>40</v>
      </c>
      <c r="E15" s="2">
        <f t="shared" si="0"/>
        <v>0</v>
      </c>
      <c r="H15" s="12">
        <f t="shared" si="1"/>
        <v>0</v>
      </c>
      <c r="K15" s="12">
        <f t="shared" si="2"/>
        <v>0</v>
      </c>
      <c r="L15" s="14">
        <f t="shared" si="3"/>
        <v>0</v>
      </c>
      <c r="M15" s="14">
        <f t="shared" si="4"/>
        <v>0</v>
      </c>
      <c r="N15" s="14">
        <f t="shared" si="5"/>
        <v>0</v>
      </c>
      <c r="O15" s="14">
        <f t="shared" si="6"/>
        <v>0</v>
      </c>
      <c r="P15" s="14">
        <f t="shared" si="10"/>
        <v>0</v>
      </c>
      <c r="Q15" s="11">
        <f t="shared" si="11"/>
        <v>24443.200000000001</v>
      </c>
      <c r="R15" s="11">
        <v>0</v>
      </c>
      <c r="S15" s="11">
        <f t="shared" si="7"/>
        <v>24443.200000000001</v>
      </c>
      <c r="T15" s="11">
        <f t="shared" si="8"/>
        <v>0</v>
      </c>
      <c r="U15" s="11">
        <f t="shared" si="9"/>
        <v>24443.200000000001</v>
      </c>
    </row>
    <row r="16" spans="1:21" x14ac:dyDescent="0.3">
      <c r="A16" s="6">
        <v>45730</v>
      </c>
      <c r="B16" s="7" t="s">
        <v>41</v>
      </c>
      <c r="E16" s="2">
        <f t="shared" si="0"/>
        <v>0</v>
      </c>
      <c r="H16" s="12">
        <f t="shared" si="1"/>
        <v>0</v>
      </c>
      <c r="K16" s="12">
        <f t="shared" si="2"/>
        <v>0</v>
      </c>
      <c r="L16" s="14">
        <f t="shared" si="3"/>
        <v>0</v>
      </c>
      <c r="M16" s="14">
        <f t="shared" si="4"/>
        <v>0</v>
      </c>
      <c r="N16" s="14">
        <f t="shared" si="5"/>
        <v>0</v>
      </c>
      <c r="O16" s="14">
        <f t="shared" si="6"/>
        <v>0</v>
      </c>
      <c r="P16" s="14">
        <f t="shared" si="10"/>
        <v>0</v>
      </c>
      <c r="Q16" s="11">
        <f t="shared" si="11"/>
        <v>24443.200000000001</v>
      </c>
      <c r="R16" s="11">
        <v>0</v>
      </c>
      <c r="S16" s="11">
        <f t="shared" si="7"/>
        <v>24443.200000000001</v>
      </c>
      <c r="T16" s="11">
        <f t="shared" si="8"/>
        <v>0</v>
      </c>
      <c r="U16" s="11">
        <f t="shared" si="9"/>
        <v>24443.200000000001</v>
      </c>
    </row>
    <row r="17" spans="1:21" x14ac:dyDescent="0.3">
      <c r="A17" s="6">
        <v>45731</v>
      </c>
      <c r="B17" s="7" t="s">
        <v>37</v>
      </c>
      <c r="E17" s="2">
        <f t="shared" si="0"/>
        <v>0</v>
      </c>
      <c r="H17" s="12">
        <f t="shared" si="1"/>
        <v>0</v>
      </c>
      <c r="K17" s="12">
        <f t="shared" si="2"/>
        <v>0</v>
      </c>
      <c r="L17" s="14">
        <f t="shared" si="3"/>
        <v>0</v>
      </c>
      <c r="M17" s="14">
        <f t="shared" si="4"/>
        <v>0</v>
      </c>
      <c r="N17" s="14">
        <f t="shared" si="5"/>
        <v>0</v>
      </c>
      <c r="O17" s="14">
        <f t="shared" si="6"/>
        <v>0</v>
      </c>
      <c r="P17" s="14">
        <f t="shared" si="10"/>
        <v>0</v>
      </c>
      <c r="Q17" s="11">
        <f t="shared" si="11"/>
        <v>24443.200000000001</v>
      </c>
      <c r="R17" s="11">
        <v>0</v>
      </c>
      <c r="S17" s="11">
        <f t="shared" si="7"/>
        <v>24443.200000000001</v>
      </c>
      <c r="T17" s="11">
        <f t="shared" si="8"/>
        <v>0</v>
      </c>
      <c r="U17" s="11">
        <f t="shared" si="9"/>
        <v>24443.200000000001</v>
      </c>
    </row>
    <row r="18" spans="1:21" x14ac:dyDescent="0.3">
      <c r="A18" s="6">
        <v>45732</v>
      </c>
      <c r="B18" s="7" t="s">
        <v>38</v>
      </c>
      <c r="E18" s="2">
        <f t="shared" si="0"/>
        <v>0</v>
      </c>
      <c r="H18" s="12">
        <f t="shared" si="1"/>
        <v>0</v>
      </c>
      <c r="K18" s="12">
        <f t="shared" si="2"/>
        <v>0</v>
      </c>
      <c r="L18" s="14">
        <f t="shared" si="3"/>
        <v>0</v>
      </c>
      <c r="M18" s="14">
        <f t="shared" si="4"/>
        <v>0</v>
      </c>
      <c r="N18" s="14">
        <f t="shared" si="5"/>
        <v>0</v>
      </c>
      <c r="O18" s="14">
        <f t="shared" si="6"/>
        <v>0</v>
      </c>
      <c r="P18" s="14">
        <f t="shared" si="10"/>
        <v>0</v>
      </c>
      <c r="Q18" s="11">
        <f t="shared" si="11"/>
        <v>24443.200000000001</v>
      </c>
      <c r="R18" s="11">
        <v>0</v>
      </c>
      <c r="S18" s="11">
        <f t="shared" si="7"/>
        <v>24443.200000000001</v>
      </c>
      <c r="T18" s="11">
        <f t="shared" si="8"/>
        <v>0</v>
      </c>
      <c r="U18" s="11">
        <f t="shared" si="9"/>
        <v>24443.200000000001</v>
      </c>
    </row>
    <row r="19" spans="1:21" x14ac:dyDescent="0.3">
      <c r="A19" s="6">
        <v>45733</v>
      </c>
      <c r="B19" s="7" t="s">
        <v>23</v>
      </c>
      <c r="E19" s="2">
        <f t="shared" si="0"/>
        <v>0</v>
      </c>
      <c r="H19" s="12">
        <f t="shared" si="1"/>
        <v>0</v>
      </c>
      <c r="K19" s="12">
        <f t="shared" si="2"/>
        <v>0</v>
      </c>
      <c r="L19" s="14">
        <f t="shared" si="3"/>
        <v>0</v>
      </c>
      <c r="M19" s="14">
        <f t="shared" si="4"/>
        <v>0</v>
      </c>
      <c r="N19" s="14">
        <f t="shared" si="5"/>
        <v>0</v>
      </c>
      <c r="O19" s="14">
        <f t="shared" si="6"/>
        <v>0</v>
      </c>
      <c r="P19" s="14">
        <f t="shared" si="10"/>
        <v>0</v>
      </c>
      <c r="Q19" s="11">
        <f t="shared" si="11"/>
        <v>24443.200000000001</v>
      </c>
      <c r="R19" s="11">
        <v>0</v>
      </c>
      <c r="S19" s="11">
        <f t="shared" si="7"/>
        <v>24443.200000000001</v>
      </c>
      <c r="T19" s="11">
        <f t="shared" si="8"/>
        <v>0</v>
      </c>
      <c r="U19" s="11">
        <f t="shared" si="9"/>
        <v>24443.200000000001</v>
      </c>
    </row>
    <row r="20" spans="1:21" x14ac:dyDescent="0.3">
      <c r="A20" s="6">
        <v>45734</v>
      </c>
      <c r="B20" s="7" t="s">
        <v>24</v>
      </c>
      <c r="E20" s="2">
        <f t="shared" si="0"/>
        <v>0</v>
      </c>
      <c r="H20" s="12">
        <f t="shared" si="1"/>
        <v>0</v>
      </c>
      <c r="K20" s="12">
        <f t="shared" si="2"/>
        <v>0</v>
      </c>
      <c r="L20" s="14">
        <f t="shared" si="3"/>
        <v>0</v>
      </c>
      <c r="M20" s="14">
        <f t="shared" si="4"/>
        <v>0</v>
      </c>
      <c r="N20" s="14">
        <f t="shared" si="5"/>
        <v>0</v>
      </c>
      <c r="O20" s="14">
        <f t="shared" si="6"/>
        <v>0</v>
      </c>
      <c r="P20" s="14">
        <f t="shared" si="10"/>
        <v>0</v>
      </c>
      <c r="Q20" s="11">
        <f t="shared" si="11"/>
        <v>24443.200000000001</v>
      </c>
      <c r="R20" s="11">
        <v>0</v>
      </c>
      <c r="S20" s="11">
        <f t="shared" si="7"/>
        <v>24443.200000000001</v>
      </c>
      <c r="T20" s="11">
        <f t="shared" si="8"/>
        <v>0</v>
      </c>
      <c r="U20" s="11">
        <f t="shared" si="9"/>
        <v>24443.200000000001</v>
      </c>
    </row>
    <row r="21" spans="1:21" x14ac:dyDescent="0.3">
      <c r="A21" s="6">
        <v>45735</v>
      </c>
      <c r="B21" s="7" t="s">
        <v>39</v>
      </c>
      <c r="E21" s="2">
        <f t="shared" si="0"/>
        <v>0</v>
      </c>
      <c r="H21" s="12">
        <f t="shared" si="1"/>
        <v>0</v>
      </c>
      <c r="K21" s="12">
        <f t="shared" si="2"/>
        <v>0</v>
      </c>
      <c r="L21" s="14">
        <f t="shared" si="3"/>
        <v>0</v>
      </c>
      <c r="M21" s="14">
        <f t="shared" si="4"/>
        <v>0</v>
      </c>
      <c r="N21" s="14">
        <f t="shared" si="5"/>
        <v>0</v>
      </c>
      <c r="O21" s="14">
        <f t="shared" si="6"/>
        <v>0</v>
      </c>
      <c r="P21" s="14">
        <f t="shared" si="10"/>
        <v>0</v>
      </c>
      <c r="Q21" s="11">
        <f t="shared" si="11"/>
        <v>24443.200000000001</v>
      </c>
      <c r="R21" s="11">
        <v>0</v>
      </c>
      <c r="S21" s="11">
        <f t="shared" si="7"/>
        <v>24443.200000000001</v>
      </c>
      <c r="T21" s="11">
        <f t="shared" si="8"/>
        <v>0</v>
      </c>
      <c r="U21" s="11">
        <f t="shared" si="9"/>
        <v>24443.200000000001</v>
      </c>
    </row>
    <row r="22" spans="1:21" x14ac:dyDescent="0.3">
      <c r="A22" s="6">
        <v>45736</v>
      </c>
      <c r="B22" s="7" t="s">
        <v>40</v>
      </c>
      <c r="E22" s="2">
        <f t="shared" si="0"/>
        <v>0</v>
      </c>
      <c r="H22" s="12">
        <f t="shared" si="1"/>
        <v>0</v>
      </c>
      <c r="K22" s="12">
        <f t="shared" si="2"/>
        <v>0</v>
      </c>
      <c r="L22" s="14">
        <f t="shared" si="3"/>
        <v>0</v>
      </c>
      <c r="M22" s="14">
        <f t="shared" si="4"/>
        <v>0</v>
      </c>
      <c r="N22" s="14">
        <f t="shared" si="5"/>
        <v>0</v>
      </c>
      <c r="O22" s="14">
        <f t="shared" si="6"/>
        <v>0</v>
      </c>
      <c r="P22" s="14">
        <f t="shared" si="10"/>
        <v>0</v>
      </c>
      <c r="Q22" s="11">
        <f t="shared" si="11"/>
        <v>24443.200000000001</v>
      </c>
      <c r="R22" s="11">
        <v>0</v>
      </c>
      <c r="S22" s="11">
        <f t="shared" si="7"/>
        <v>24443.200000000001</v>
      </c>
      <c r="T22" s="11">
        <f t="shared" si="8"/>
        <v>0</v>
      </c>
      <c r="U22" s="11">
        <f t="shared" si="9"/>
        <v>24443.200000000001</v>
      </c>
    </row>
    <row r="23" spans="1:21" x14ac:dyDescent="0.3">
      <c r="A23" s="6">
        <v>45737</v>
      </c>
      <c r="B23" s="7" t="s">
        <v>41</v>
      </c>
      <c r="E23" s="2">
        <f t="shared" si="0"/>
        <v>0</v>
      </c>
      <c r="H23" s="12">
        <f t="shared" si="1"/>
        <v>0</v>
      </c>
      <c r="K23" s="12">
        <f t="shared" si="2"/>
        <v>0</v>
      </c>
      <c r="L23" s="14">
        <f t="shared" si="3"/>
        <v>0</v>
      </c>
      <c r="M23" s="14">
        <f t="shared" si="4"/>
        <v>0</v>
      </c>
      <c r="N23" s="14">
        <f t="shared" si="5"/>
        <v>0</v>
      </c>
      <c r="O23" s="14">
        <f t="shared" si="6"/>
        <v>0</v>
      </c>
      <c r="P23" s="14">
        <f t="shared" si="10"/>
        <v>0</v>
      </c>
      <c r="Q23" s="11">
        <f t="shared" si="11"/>
        <v>24443.200000000001</v>
      </c>
      <c r="R23" s="11">
        <v>0</v>
      </c>
      <c r="S23" s="11">
        <f t="shared" si="7"/>
        <v>24443.200000000001</v>
      </c>
      <c r="T23" s="11">
        <f t="shared" si="8"/>
        <v>0</v>
      </c>
      <c r="U23" s="11">
        <f t="shared" si="9"/>
        <v>24443.200000000001</v>
      </c>
    </row>
    <row r="24" spans="1:21" x14ac:dyDescent="0.3">
      <c r="A24" s="6">
        <v>45738</v>
      </c>
      <c r="B24" s="7" t="s">
        <v>37</v>
      </c>
      <c r="E24" s="2">
        <f t="shared" si="0"/>
        <v>0</v>
      </c>
      <c r="H24" s="12">
        <f t="shared" si="1"/>
        <v>0</v>
      </c>
      <c r="K24" s="12">
        <f t="shared" si="2"/>
        <v>0</v>
      </c>
      <c r="L24" s="14">
        <f t="shared" si="3"/>
        <v>0</v>
      </c>
      <c r="M24" s="14">
        <f t="shared" si="4"/>
        <v>0</v>
      </c>
      <c r="N24" s="14">
        <f t="shared" si="5"/>
        <v>0</v>
      </c>
      <c r="O24" s="14">
        <f t="shared" si="6"/>
        <v>0</v>
      </c>
      <c r="P24" s="14">
        <f t="shared" si="10"/>
        <v>0</v>
      </c>
      <c r="Q24" s="11">
        <f t="shared" si="11"/>
        <v>24443.200000000001</v>
      </c>
      <c r="R24" s="11">
        <v>0</v>
      </c>
      <c r="S24" s="11">
        <f t="shared" si="7"/>
        <v>24443.200000000001</v>
      </c>
      <c r="T24" s="11">
        <f t="shared" si="8"/>
        <v>0</v>
      </c>
      <c r="U24" s="11">
        <f t="shared" si="9"/>
        <v>24443.200000000001</v>
      </c>
    </row>
    <row r="25" spans="1:21" x14ac:dyDescent="0.3">
      <c r="A25" s="6">
        <v>45739</v>
      </c>
      <c r="B25" s="7" t="s">
        <v>38</v>
      </c>
      <c r="E25" s="2">
        <f t="shared" si="0"/>
        <v>0</v>
      </c>
      <c r="H25" s="12">
        <f t="shared" si="1"/>
        <v>0</v>
      </c>
      <c r="K25" s="12">
        <f t="shared" si="2"/>
        <v>0</v>
      </c>
      <c r="L25" s="14">
        <f t="shared" si="3"/>
        <v>0</v>
      </c>
      <c r="M25" s="14">
        <f t="shared" si="4"/>
        <v>0</v>
      </c>
      <c r="N25" s="14">
        <f t="shared" si="5"/>
        <v>0</v>
      </c>
      <c r="O25" s="14">
        <f t="shared" si="6"/>
        <v>0</v>
      </c>
      <c r="P25" s="14">
        <f t="shared" si="10"/>
        <v>0</v>
      </c>
      <c r="Q25" s="11">
        <f t="shared" si="11"/>
        <v>24443.200000000001</v>
      </c>
      <c r="R25" s="11">
        <v>0</v>
      </c>
      <c r="S25" s="11">
        <f t="shared" si="7"/>
        <v>24443.200000000001</v>
      </c>
      <c r="T25" s="11">
        <f t="shared" si="8"/>
        <v>0</v>
      </c>
      <c r="U25" s="11">
        <f t="shared" si="9"/>
        <v>24443.200000000001</v>
      </c>
    </row>
    <row r="26" spans="1:21" x14ac:dyDescent="0.3">
      <c r="A26" s="6">
        <v>45740</v>
      </c>
      <c r="B26" s="7" t="s">
        <v>23</v>
      </c>
      <c r="E26" s="2">
        <f t="shared" si="0"/>
        <v>0</v>
      </c>
      <c r="H26" s="12">
        <f t="shared" si="1"/>
        <v>0</v>
      </c>
      <c r="K26" s="12">
        <f t="shared" si="2"/>
        <v>0</v>
      </c>
      <c r="L26" s="14">
        <f>(C26+F26+I26)</f>
        <v>0</v>
      </c>
      <c r="M26" s="14">
        <f t="shared" si="4"/>
        <v>0</v>
      </c>
      <c r="N26" s="14">
        <f t="shared" si="5"/>
        <v>0</v>
      </c>
      <c r="O26" s="14">
        <f t="shared" si="6"/>
        <v>0</v>
      </c>
      <c r="P26" s="14">
        <f t="shared" si="10"/>
        <v>0</v>
      </c>
      <c r="Q26" s="11">
        <f t="shared" si="11"/>
        <v>24443.200000000001</v>
      </c>
      <c r="R26" s="11">
        <v>0</v>
      </c>
      <c r="S26" s="11">
        <f t="shared" si="7"/>
        <v>24443.200000000001</v>
      </c>
      <c r="T26" s="11">
        <f t="shared" si="8"/>
        <v>0</v>
      </c>
      <c r="U26" s="11">
        <f t="shared" si="9"/>
        <v>24443.200000000001</v>
      </c>
    </row>
    <row r="27" spans="1:21" x14ac:dyDescent="0.3">
      <c r="A27" s="6">
        <v>45741</v>
      </c>
      <c r="B27" s="7" t="s">
        <v>24</v>
      </c>
      <c r="E27" s="2">
        <f t="shared" si="0"/>
        <v>0</v>
      </c>
      <c r="H27" s="12">
        <f t="shared" si="1"/>
        <v>0</v>
      </c>
      <c r="K27" s="12">
        <f t="shared" si="2"/>
        <v>0</v>
      </c>
      <c r="L27" s="14">
        <f t="shared" si="3"/>
        <v>0</v>
      </c>
      <c r="M27" s="14">
        <f t="shared" si="4"/>
        <v>0</v>
      </c>
      <c r="N27" s="14">
        <f t="shared" si="5"/>
        <v>0</v>
      </c>
      <c r="O27" s="14">
        <f t="shared" si="6"/>
        <v>0</v>
      </c>
      <c r="P27" s="14">
        <f t="shared" si="10"/>
        <v>0</v>
      </c>
      <c r="Q27" s="11">
        <f t="shared" si="11"/>
        <v>24443.200000000001</v>
      </c>
      <c r="R27" s="11">
        <v>0</v>
      </c>
      <c r="S27" s="11">
        <f t="shared" si="7"/>
        <v>24443.200000000001</v>
      </c>
      <c r="T27" s="11">
        <f t="shared" si="8"/>
        <v>0</v>
      </c>
      <c r="U27" s="11">
        <f t="shared" si="9"/>
        <v>24443.200000000001</v>
      </c>
    </row>
    <row r="28" spans="1:21" x14ac:dyDescent="0.3">
      <c r="A28" s="6">
        <v>45742</v>
      </c>
      <c r="B28" s="7" t="s">
        <v>39</v>
      </c>
      <c r="E28" s="2">
        <f t="shared" si="0"/>
        <v>0</v>
      </c>
      <c r="H28" s="12">
        <f t="shared" si="1"/>
        <v>0</v>
      </c>
      <c r="K28" s="12">
        <f t="shared" si="2"/>
        <v>0</v>
      </c>
      <c r="L28" s="14">
        <f t="shared" si="3"/>
        <v>0</v>
      </c>
      <c r="M28" s="14">
        <f t="shared" si="4"/>
        <v>0</v>
      </c>
      <c r="N28" s="14">
        <f t="shared" si="5"/>
        <v>0</v>
      </c>
      <c r="O28" s="14">
        <f t="shared" si="6"/>
        <v>0</v>
      </c>
      <c r="P28" s="14">
        <f t="shared" si="10"/>
        <v>0</v>
      </c>
      <c r="Q28" s="11">
        <f t="shared" si="11"/>
        <v>24443.200000000001</v>
      </c>
      <c r="R28" s="11">
        <v>0</v>
      </c>
      <c r="S28" s="11">
        <f t="shared" si="7"/>
        <v>24443.200000000001</v>
      </c>
      <c r="T28" s="11">
        <f t="shared" si="8"/>
        <v>0</v>
      </c>
      <c r="U28" s="11">
        <f t="shared" si="9"/>
        <v>24443.200000000001</v>
      </c>
    </row>
    <row r="29" spans="1:21" x14ac:dyDescent="0.3">
      <c r="A29" s="6">
        <v>45743</v>
      </c>
      <c r="B29" s="7" t="s">
        <v>40</v>
      </c>
      <c r="E29" s="2">
        <f t="shared" si="0"/>
        <v>0</v>
      </c>
      <c r="H29" s="12">
        <f t="shared" si="1"/>
        <v>0</v>
      </c>
      <c r="K29" s="12">
        <f t="shared" si="2"/>
        <v>0</v>
      </c>
      <c r="L29" s="14">
        <f t="shared" si="3"/>
        <v>0</v>
      </c>
      <c r="M29" s="14">
        <f t="shared" si="4"/>
        <v>0</v>
      </c>
      <c r="N29" s="14">
        <f t="shared" si="5"/>
        <v>0</v>
      </c>
      <c r="O29" s="14">
        <f t="shared" si="6"/>
        <v>0</v>
      </c>
      <c r="P29" s="14">
        <f t="shared" si="10"/>
        <v>0</v>
      </c>
      <c r="Q29" s="11">
        <f t="shared" si="11"/>
        <v>24443.200000000001</v>
      </c>
      <c r="R29" s="11">
        <v>0</v>
      </c>
      <c r="S29" s="11">
        <f t="shared" si="7"/>
        <v>24443.200000000001</v>
      </c>
      <c r="T29" s="11">
        <f t="shared" si="8"/>
        <v>0</v>
      </c>
      <c r="U29" s="11">
        <f t="shared" si="9"/>
        <v>24443.200000000001</v>
      </c>
    </row>
    <row r="30" spans="1:21" x14ac:dyDescent="0.3">
      <c r="A30" s="6">
        <v>45744</v>
      </c>
      <c r="B30" s="7" t="s">
        <v>41</v>
      </c>
      <c r="E30" s="2">
        <f t="shared" si="0"/>
        <v>0</v>
      </c>
      <c r="H30" s="12">
        <f t="shared" si="1"/>
        <v>0</v>
      </c>
      <c r="K30" s="12">
        <f t="shared" si="2"/>
        <v>0</v>
      </c>
      <c r="L30" s="14">
        <f t="shared" si="3"/>
        <v>0</v>
      </c>
      <c r="M30" s="14">
        <f t="shared" si="4"/>
        <v>0</v>
      </c>
      <c r="N30" s="14">
        <f t="shared" si="5"/>
        <v>0</v>
      </c>
      <c r="O30" s="14">
        <f t="shared" si="6"/>
        <v>0</v>
      </c>
      <c r="P30" s="14">
        <f t="shared" si="10"/>
        <v>0</v>
      </c>
      <c r="Q30" s="11">
        <f t="shared" si="11"/>
        <v>24443.200000000001</v>
      </c>
      <c r="R30" s="11">
        <v>0</v>
      </c>
      <c r="S30" s="11">
        <f t="shared" si="7"/>
        <v>24443.200000000001</v>
      </c>
      <c r="T30" s="11">
        <f t="shared" si="8"/>
        <v>0</v>
      </c>
      <c r="U30" s="11">
        <f t="shared" si="9"/>
        <v>24443.200000000001</v>
      </c>
    </row>
    <row r="31" spans="1:21" x14ac:dyDescent="0.3">
      <c r="A31" s="6">
        <v>45745</v>
      </c>
      <c r="B31" s="7" t="s">
        <v>37</v>
      </c>
      <c r="E31" s="2">
        <f t="shared" si="0"/>
        <v>0</v>
      </c>
      <c r="H31" s="12">
        <f t="shared" si="1"/>
        <v>0</v>
      </c>
      <c r="K31" s="12">
        <f t="shared" si="2"/>
        <v>0</v>
      </c>
      <c r="L31" s="14">
        <f t="shared" si="3"/>
        <v>0</v>
      </c>
      <c r="M31" s="14">
        <f t="shared" si="4"/>
        <v>0</v>
      </c>
      <c r="N31" s="14">
        <f t="shared" si="5"/>
        <v>0</v>
      </c>
      <c r="O31" s="14">
        <f t="shared" si="6"/>
        <v>0</v>
      </c>
      <c r="P31" s="14">
        <f t="shared" si="10"/>
        <v>0</v>
      </c>
      <c r="Q31" s="11">
        <f t="shared" si="11"/>
        <v>24443.200000000001</v>
      </c>
      <c r="R31" s="11">
        <v>0</v>
      </c>
      <c r="S31" s="11">
        <f t="shared" si="7"/>
        <v>24443.200000000001</v>
      </c>
      <c r="T31" s="11">
        <f t="shared" si="8"/>
        <v>0</v>
      </c>
      <c r="U31" s="11">
        <f t="shared" si="9"/>
        <v>24443.200000000001</v>
      </c>
    </row>
    <row r="32" spans="1:21" x14ac:dyDescent="0.3">
      <c r="A32" s="6">
        <v>45746</v>
      </c>
      <c r="B32" s="7" t="s">
        <v>38</v>
      </c>
      <c r="E32" s="2">
        <f t="shared" si="0"/>
        <v>0</v>
      </c>
      <c r="H32" s="12">
        <f t="shared" si="1"/>
        <v>0</v>
      </c>
      <c r="K32" s="12">
        <f t="shared" si="2"/>
        <v>0</v>
      </c>
      <c r="L32" s="14">
        <f t="shared" si="3"/>
        <v>0</v>
      </c>
      <c r="M32" s="14">
        <f t="shared" si="4"/>
        <v>0</v>
      </c>
      <c r="N32" s="14">
        <f t="shared" si="5"/>
        <v>0</v>
      </c>
      <c r="O32" s="14">
        <f t="shared" si="6"/>
        <v>0</v>
      </c>
      <c r="P32" s="14">
        <f t="shared" si="10"/>
        <v>0</v>
      </c>
      <c r="Q32" s="11">
        <f t="shared" si="11"/>
        <v>24443.200000000001</v>
      </c>
      <c r="R32" s="11">
        <v>0</v>
      </c>
      <c r="S32" s="11">
        <f t="shared" si="7"/>
        <v>24443.200000000001</v>
      </c>
      <c r="T32" s="11">
        <f t="shared" si="8"/>
        <v>0</v>
      </c>
      <c r="U32" s="11">
        <f t="shared" si="9"/>
        <v>24443.200000000001</v>
      </c>
    </row>
    <row r="33" spans="1:21" x14ac:dyDescent="0.3">
      <c r="A33" s="6">
        <v>45747</v>
      </c>
      <c r="B33" s="7" t="s">
        <v>23</v>
      </c>
      <c r="E33" s="2">
        <f t="shared" si="0"/>
        <v>0</v>
      </c>
      <c r="H33" s="12">
        <f t="shared" si="1"/>
        <v>0</v>
      </c>
      <c r="K33" s="12">
        <f t="shared" si="2"/>
        <v>0</v>
      </c>
      <c r="L33" s="14">
        <f t="shared" si="3"/>
        <v>0</v>
      </c>
      <c r="M33" s="14">
        <f t="shared" si="4"/>
        <v>0</v>
      </c>
      <c r="N33" s="14">
        <f t="shared" si="5"/>
        <v>0</v>
      </c>
      <c r="O33" s="14">
        <f t="shared" si="6"/>
        <v>0</v>
      </c>
      <c r="P33" s="14">
        <f t="shared" si="10"/>
        <v>0</v>
      </c>
      <c r="Q33" s="11">
        <f t="shared" si="11"/>
        <v>24443.200000000001</v>
      </c>
      <c r="R33" s="11">
        <v>0</v>
      </c>
      <c r="S33" s="11">
        <f t="shared" si="7"/>
        <v>24443.200000000001</v>
      </c>
      <c r="T33" s="11">
        <f t="shared" si="8"/>
        <v>0</v>
      </c>
      <c r="U33" s="11">
        <f t="shared" si="9"/>
        <v>24443.200000000001</v>
      </c>
    </row>
  </sheetData>
  <mergeCells count="7">
    <mergeCell ref="Q1:U1"/>
    <mergeCell ref="A1:A2"/>
    <mergeCell ref="B1:B2"/>
    <mergeCell ref="C1:E1"/>
    <mergeCell ref="F1:H1"/>
    <mergeCell ref="I1:K1"/>
    <mergeCell ref="L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8th Rice Bagya</vt:lpstr>
      <vt:lpstr>Milk &amp; Biscut</vt:lpstr>
      <vt:lpstr>Contengency</vt:lpstr>
      <vt:lpstr>9th &amp; 10 Rice Bagya</vt:lpstr>
      <vt:lpstr>Egg &amp; Bannana &amp; nutbar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srevappa19@gmail.com</dc:creator>
  <cp:lastModifiedBy>HEAD MASTER</cp:lastModifiedBy>
  <dcterms:created xsi:type="dcterms:W3CDTF">2024-04-30T03:23:06Z</dcterms:created>
  <dcterms:modified xsi:type="dcterms:W3CDTF">2026-09-05T03:40:05Z</dcterms:modified>
</cp:coreProperties>
</file>